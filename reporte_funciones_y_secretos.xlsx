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Lista de Funciones" sheetId="2" state="visible" r:id="rId2"/>
    <sheet name="Secretos y Variables" sheetId="3" state="visible" r:id="rId3"/>
  </sheets>
  <definedNames>
    <definedName name="_xlnm._FilterDatabase" localSheetId="1" hidden="1">'Lista de Funciones'!$A$2:$H$128</definedName>
    <definedName name="_xlnm._FilterDatabase" localSheetId="2" hidden="1">'Secretos y Variables'!$A$2:$E$26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>
      <c r="A1" s="1" t="inlineStr">
        <is>
          <t>REPORTE DE FUNCIONES Y SECRETOS - CLOUD FUNCTIONS V2</t>
        </is>
      </c>
    </row>
    <row r="2">
      <c r="A2" s="2" t="inlineStr">
        <is>
          <t>Proyecto Conectimed | Infraestructura Backend Firebase Functions v2</t>
        </is>
      </c>
    </row>
    <row r="3"/>
    <row r="4">
      <c r="A4" s="3" t="inlineStr">
        <is>
          <t>Resumen General de Funciones</t>
        </is>
      </c>
    </row>
    <row r="5">
      <c r="A5" s="4" t="inlineStr">
        <is>
          <t>Métrica</t>
        </is>
      </c>
      <c r="B5" s="5" t="inlineStr">
        <is>
          <t>Total</t>
        </is>
      </c>
    </row>
    <row r="6">
      <c r="A6" s="6" t="inlineStr">
        <is>
          <t>Total de Funciones Principales Exportadas</t>
        </is>
      </c>
      <c r="B6" s="7">
        <f>COUNTA('Lista de Funciones'!A3:A128)</f>
        <v/>
      </c>
    </row>
    <row r="7">
      <c r="A7" s="6" t="inlineStr">
        <is>
          <t>Total de Secretos / Variables de Configuración</t>
        </is>
      </c>
      <c r="B7" s="7">
        <f>COUNTA('Secretos y Variables'!A3:A26)</f>
        <v/>
      </c>
    </row>
    <row r="8">
      <c r="A8" s="8" t="inlineStr">
        <is>
          <t>Funciones HTTP Request (onRequest)</t>
        </is>
      </c>
      <c r="B8" s="9">
        <f>COUNTIF('Lista de Funciones'!D3:D128, "HTTP Request")</f>
        <v/>
      </c>
    </row>
    <row r="9">
      <c r="A9" s="8" t="inlineStr">
        <is>
          <t>Funciones Callables (onCall)</t>
        </is>
      </c>
      <c r="B9" s="9">
        <f>COUNTIF('Lista de Funciones'!D3:D128, "Callable (HTTPS)")</f>
        <v/>
      </c>
    </row>
    <row r="10">
      <c r="A10" s="8" t="inlineStr">
        <is>
          <t>Funciones Programadas (onSchedule)</t>
        </is>
      </c>
      <c r="B10" s="9">
        <f>COUNTIF('Lista de Funciones'!D3:D128, "Scheduled (Cron)")</f>
        <v/>
      </c>
    </row>
    <row r="11">
      <c r="A11" s="8" t="inlineStr">
        <is>
          <t>Disparadores Firestore (Triggers)</t>
        </is>
      </c>
      <c r="B11" s="9">
        <f>COUNTIF('Lista de Funciones'!D3:D128, "Firestore Trigger*")</f>
        <v/>
      </c>
    </row>
    <row r="12"/>
    <row r="13"/>
    <row r="14">
      <c r="A14" s="3" t="inlineStr">
        <is>
          <t>Desglose por Tipo de Disparador (Trigger)</t>
        </is>
      </c>
    </row>
    <row r="15">
      <c r="A15" s="4" t="inlineStr">
        <is>
          <t>Tipo de Trigger</t>
        </is>
      </c>
      <c r="B15" s="5" t="inlineStr">
        <is>
          <t>Cantidad</t>
        </is>
      </c>
      <c r="C15" s="5" t="inlineStr">
        <is>
          <t>% del Total</t>
        </is>
      </c>
    </row>
    <row r="16">
      <c r="A16" s="8" t="inlineStr">
        <is>
          <t>HTTP Request (onRequest)</t>
        </is>
      </c>
      <c r="B16" s="10">
        <f>COUNTIF('Lista de Funciones'!C3:C128, "onRequest")</f>
        <v/>
      </c>
      <c r="C16" s="11">
        <f>B16/B6</f>
        <v/>
      </c>
    </row>
    <row r="17">
      <c r="A17" s="8" t="inlineStr">
        <is>
          <t>Callable (onCall)</t>
        </is>
      </c>
      <c r="B17" s="10">
        <f>COUNTIF('Lista de Funciones'!C3:C128, "onCall")</f>
        <v/>
      </c>
      <c r="C17" s="11">
        <f>B17/B6</f>
        <v/>
      </c>
    </row>
    <row r="18">
      <c r="A18" s="8" t="inlineStr">
        <is>
          <t>Scheduled (onSchedule)</t>
        </is>
      </c>
      <c r="B18" s="10">
        <f>COUNTIF('Lista de Funciones'!C3:C128, "onSchedule")</f>
        <v/>
      </c>
      <c r="C18" s="11">
        <f>B18/B6</f>
        <v/>
      </c>
    </row>
    <row r="19">
      <c r="A19" s="8" t="inlineStr">
        <is>
          <t>Firestore OnCreate (onDocumentCreated)</t>
        </is>
      </c>
      <c r="B19" s="10">
        <f>COUNTIF('Lista de Funciones'!C3:C128, "onDocumentCreated")</f>
        <v/>
      </c>
      <c r="C19" s="11">
        <f>B19/B6</f>
        <v/>
      </c>
    </row>
    <row r="20">
      <c r="A20" s="8" t="inlineStr">
        <is>
          <t>Firestore OnUpdate (onDocumentUpdated)</t>
        </is>
      </c>
      <c r="B20" s="10">
        <f>COUNTIF('Lista de Funciones'!C3:C128, "onDocumentUpdated")</f>
        <v/>
      </c>
      <c r="C20" s="11">
        <f>B20/B6</f>
        <v/>
      </c>
    </row>
    <row r="21">
      <c r="A21" s="8" t="inlineStr">
        <is>
          <t>Firestore OnDelete (onDocumentDeleted)</t>
        </is>
      </c>
      <c r="B21" s="10">
        <f>COUNTIF('Lista de Funciones'!C3:C128, "onDocumentDeleted")</f>
        <v/>
      </c>
      <c r="C21" s="11">
        <f>B21/B6</f>
        <v/>
      </c>
    </row>
    <row r="22">
      <c r="A22" s="8" t="inlineStr">
        <is>
          <t>Firestore OnWrite (onDocumentWritten)</t>
        </is>
      </c>
      <c r="B22" s="10">
        <f>COUNTIF('Lista de Funciones'!C3:C128, "onDocumentWritten")</f>
        <v/>
      </c>
      <c r="C22" s="11">
        <f>B22/B6</f>
        <v/>
      </c>
    </row>
    <row r="23">
      <c r="A23" s="6" t="inlineStr">
        <is>
          <t>TOTAL</t>
        </is>
      </c>
      <c r="B23" s="7">
        <f>SUM(B16:B22)</f>
        <v/>
      </c>
      <c r="C23" s="12">
        <f>SUM(C16:C22)</f>
        <v/>
      </c>
    </row>
    <row r="24"/>
    <row r="25"/>
    <row r="26">
      <c r="A26" s="3" t="inlineStr">
        <is>
          <t>Desglose por Autor / Desarrollador</t>
        </is>
      </c>
    </row>
    <row r="27">
      <c r="A27" s="4" t="inlineStr">
        <is>
          <t>Autor</t>
        </is>
      </c>
      <c r="B27" s="5" t="inlineStr">
        <is>
          <t>Cantidad</t>
        </is>
      </c>
      <c r="C27" s="5" t="inlineStr">
        <is>
          <t>% del Total</t>
        </is>
      </c>
    </row>
    <row r="28">
      <c r="A28" s="8" t="inlineStr">
        <is>
          <t>Rolando</t>
        </is>
      </c>
      <c r="B28" s="10">
        <f>COUNTIF('Lista de Funciones'!F3:F128, "Rolando")</f>
        <v/>
      </c>
      <c r="C28" s="11">
        <f>B28/B6</f>
        <v/>
      </c>
    </row>
    <row r="29">
      <c r="A29" s="8" t="inlineStr">
        <is>
          <t>Miguel</t>
        </is>
      </c>
      <c r="B29" s="10">
        <f>COUNTIF('Lista de Funciones'!F3:F128, "Miguel")</f>
        <v/>
      </c>
      <c r="C29" s="11">
        <f>B29/B6</f>
        <v/>
      </c>
    </row>
    <row r="30">
      <c r="A30" s="8" t="inlineStr">
        <is>
          <t>Migrated v2</t>
        </is>
      </c>
      <c r="B30" s="10">
        <f>COUNTIF('Lista de Funciones'!F3:F128, "Migrated v2")</f>
        <v/>
      </c>
      <c r="C30" s="11">
        <f>B30/B6</f>
        <v/>
      </c>
    </row>
    <row r="31">
      <c r="A31" s="6" t="inlineStr">
        <is>
          <t>TOTAL</t>
        </is>
      </c>
      <c r="B31" s="7">
        <f>SUM(B28:B30)</f>
        <v/>
      </c>
      <c r="C31" s="12">
        <f>SUM(C28:C30)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30" customWidth="1" min="4" max="4"/>
    <col width="50" customWidth="1" min="5" max="5"/>
    <col width="16" customWidth="1" min="6" max="6"/>
    <col width="45" customWidth="1" min="7" max="7"/>
    <col width="55" customWidth="1" min="8" max="8"/>
  </cols>
  <sheetData>
    <row r="1">
      <c r="A1" s="1" t="inlineStr">
        <is>
          <t>INVENTARIO DETALLADO DE FUNCIONES PRINCIPALES (CLOUD FUNCTIONS V2)</t>
        </is>
      </c>
    </row>
    <row r="2" ht="28" customHeight="1">
      <c r="A2" s="5" t="inlineStr">
        <is>
          <t>#</t>
        </is>
      </c>
      <c r="B2" s="4" t="inlineStr">
        <is>
          <t>Nombre de la Función</t>
        </is>
      </c>
      <c r="C2" s="5" t="inlineStr">
        <is>
          <t>Tipo Trigger (v2)</t>
        </is>
      </c>
      <c r="D2" s="5" t="inlineStr">
        <is>
          <t>Categoría</t>
        </is>
      </c>
      <c r="E2" s="4" t="inlineStr">
        <is>
          <t>Descripción de la Función</t>
        </is>
      </c>
      <c r="F2" s="5" t="inlineStr">
        <is>
          <t>Autor / Creador</t>
        </is>
      </c>
      <c r="G2" s="4" t="inlineStr">
        <is>
          <t>Archivo Fuente</t>
        </is>
      </c>
      <c r="H2" s="4" t="inlineStr">
        <is>
          <t>Secretos / Variables Requeridos</t>
        </is>
      </c>
    </row>
    <row r="3" ht="22" customHeight="1">
      <c r="A3" s="13" t="n">
        <v>1</v>
      </c>
      <c r="B3" s="14" t="inlineStr">
        <is>
          <t>infoDBF</t>
        </is>
      </c>
      <c r="C3" s="13" t="inlineStr">
        <is>
          <t>onRequest</t>
        </is>
      </c>
      <c r="D3" s="13" t="inlineStr">
        <is>
          <t>HTTP Request</t>
        </is>
      </c>
      <c r="E3" s="15" t="inlineStr">
        <is>
          <t>STRIPE</t>
        </is>
      </c>
      <c r="F3" s="13" t="inlineStr">
        <is>
          <t>Rolando</t>
        </is>
      </c>
      <c r="G3" s="15" t="inlineStr">
        <is>
          <t>functions/assets/js/experimental/experimental.js</t>
        </is>
      </c>
      <c r="H3" s="15" t="inlineStr">
        <is>
          <t>CONFIGFB_ADMIN_CREDENTIAL_CERT, CONFIGFB_CLIENT_EMAIL, CONFIGFB_DATABASE_NAME, CONFIGFB_DATABASE_URL, CONFIGFB_STORAGE_BUCKET</t>
        </is>
      </c>
    </row>
    <row r="4" ht="22" customHeight="1">
      <c r="A4" s="10" t="n">
        <v>2</v>
      </c>
      <c r="B4" s="16" t="inlineStr">
        <is>
          <t>stripe_customer_create</t>
        </is>
      </c>
      <c r="C4" s="10" t="inlineStr">
        <is>
          <t>onRequest</t>
        </is>
      </c>
      <c r="D4" s="10" t="inlineStr">
        <is>
          <t>HTTP Request</t>
        </is>
      </c>
      <c r="E4" s="17" t="inlineStr">
        <is>
          <t>STRIPE</t>
        </is>
      </c>
      <c r="F4" s="10" t="inlineStr">
        <is>
          <t>Rolando</t>
        </is>
      </c>
      <c r="G4" s="17" t="inlineStr">
        <is>
          <t>functions/assets/js/stripe/stripe.js</t>
        </is>
      </c>
      <c r="H4" s="17" t="inlineStr">
        <is>
          <t>STRIPE_SECRET_KEY</t>
        </is>
      </c>
    </row>
    <row r="5" ht="22" customHeight="1">
      <c r="A5" s="13" t="n">
        <v>3</v>
      </c>
      <c r="B5" s="14" t="inlineStr">
        <is>
          <t>stripe_customer_update</t>
        </is>
      </c>
      <c r="C5" s="13" t="inlineStr">
        <is>
          <t>onRequest</t>
        </is>
      </c>
      <c r="D5" s="13" t="inlineStr">
        <is>
          <t>HTTP Request</t>
        </is>
      </c>
      <c r="E5" s="15" t="inlineStr">
        <is>
          <t>STRIPE</t>
        </is>
      </c>
      <c r="F5" s="13" t="inlineStr">
        <is>
          <t>Rolando</t>
        </is>
      </c>
      <c r="G5" s="15" t="inlineStr">
        <is>
          <t>functions/assets/js/stripe/stripe.js</t>
        </is>
      </c>
      <c r="H5" s="15" t="inlineStr">
        <is>
          <t>STRIPE_SECRET_KEY</t>
        </is>
      </c>
    </row>
    <row r="6" ht="22" customHeight="1">
      <c r="A6" s="10" t="n">
        <v>4</v>
      </c>
      <c r="B6" s="16" t="inlineStr">
        <is>
          <t>stripe_customer_retrieve</t>
        </is>
      </c>
      <c r="C6" s="10" t="inlineStr">
        <is>
          <t>onRequest</t>
        </is>
      </c>
      <c r="D6" s="10" t="inlineStr">
        <is>
          <t>HTTP Request</t>
        </is>
      </c>
      <c r="E6" s="17" t="inlineStr">
        <is>
          <t>STRIPE</t>
        </is>
      </c>
      <c r="F6" s="10" t="inlineStr">
        <is>
          <t>Rolando</t>
        </is>
      </c>
      <c r="G6" s="17" t="inlineStr">
        <is>
          <t>functions/assets/js/stripe/stripe.js</t>
        </is>
      </c>
      <c r="H6" s="17" t="inlineStr">
        <is>
          <t>STRIPE_SECRET_KEY</t>
        </is>
      </c>
    </row>
    <row r="7" ht="22" customHeight="1">
      <c r="A7" s="13" t="n">
        <v>5</v>
      </c>
      <c r="B7" s="14" t="inlineStr">
        <is>
          <t>stripe_customer_delete</t>
        </is>
      </c>
      <c r="C7" s="13" t="inlineStr">
        <is>
          <t>onRequest</t>
        </is>
      </c>
      <c r="D7" s="13" t="inlineStr">
        <is>
          <t>HTTP Request</t>
        </is>
      </c>
      <c r="E7" s="15" t="inlineStr">
        <is>
          <t>STRIPE</t>
        </is>
      </c>
      <c r="F7" s="13" t="inlineStr">
        <is>
          <t>Rolando</t>
        </is>
      </c>
      <c r="G7" s="15" t="inlineStr">
        <is>
          <t>functions/assets/js/stripe/stripe.js</t>
        </is>
      </c>
      <c r="H7" s="15" t="inlineStr">
        <is>
          <t>STRIPE_SECRET_KEY</t>
        </is>
      </c>
    </row>
    <row r="8" ht="22" customHeight="1">
      <c r="A8" s="10" t="n">
        <v>6</v>
      </c>
      <c r="B8" s="16" t="inlineStr">
        <is>
          <t>stripe_payment_intent</t>
        </is>
      </c>
      <c r="C8" s="10" t="inlineStr">
        <is>
          <t>onRequest</t>
        </is>
      </c>
      <c r="D8" s="10" t="inlineStr">
        <is>
          <t>HTTP Request</t>
        </is>
      </c>
      <c r="E8" s="17" t="inlineStr">
        <is>
          <t>STRIPE</t>
        </is>
      </c>
      <c r="F8" s="10" t="inlineStr">
        <is>
          <t>Rolando</t>
        </is>
      </c>
      <c r="G8" s="17" t="inlineStr">
        <is>
          <t>functions/assets/js/stripe/stripe.js</t>
        </is>
      </c>
      <c r="H8" s="17" t="inlineStr">
        <is>
          <t>STRIPE_SECRET_KEY</t>
        </is>
      </c>
    </row>
    <row r="9" ht="22" customHeight="1">
      <c r="A9" s="13" t="n">
        <v>7</v>
      </c>
      <c r="B9" s="14" t="inlineStr">
        <is>
          <t>stripe_payment_intent_update</t>
        </is>
      </c>
      <c r="C9" s="13" t="inlineStr">
        <is>
          <t>onRequest</t>
        </is>
      </c>
      <c r="D9" s="13" t="inlineStr">
        <is>
          <t>HTTP Request</t>
        </is>
      </c>
      <c r="E9" s="15" t="inlineStr">
        <is>
          <t>STRIPE</t>
        </is>
      </c>
      <c r="F9" s="13" t="inlineStr">
        <is>
          <t>Rolando</t>
        </is>
      </c>
      <c r="G9" s="15" t="inlineStr">
        <is>
          <t>functions/assets/js/stripe/stripe.js</t>
        </is>
      </c>
      <c r="H9" s="15" t="inlineStr">
        <is>
          <t>STRIPE_SECRET_KEY</t>
        </is>
      </c>
    </row>
    <row r="10" ht="22" customHeight="1">
      <c r="A10" s="10" t="n">
        <v>8</v>
      </c>
      <c r="B10" s="16" t="inlineStr">
        <is>
          <t>clickMeeting</t>
        </is>
      </c>
      <c r="C10" s="10" t="inlineStr">
        <is>
          <t>onRequest</t>
        </is>
      </c>
      <c r="D10" s="10" t="inlineStr">
        <is>
          <t>HTTP Request</t>
        </is>
      </c>
      <c r="E10" s="17" t="inlineStr">
        <is>
          <t>GET URL FROM CLICK MEETING</t>
        </is>
      </c>
      <c r="F10" s="10" t="inlineStr">
        <is>
          <t>Rolando</t>
        </is>
      </c>
      <c r="G10" s="17" t="inlineStr">
        <is>
          <t>functions/assets/js/click-meeting/click-meeting.js</t>
        </is>
      </c>
      <c r="H10" s="17" t="inlineStr">
        <is>
          <t>CLICK_MEETING_API, CLICK_MEETING_URL_ACCOUNT, CLICK_MEETING_X_API_KEY, CONFIGFB_ADMIN_CREDENTIAL_CERT, CONFIGFB_CLIENT_EMAIL, CONFIGFB_DATABASE_NAME, CONFIGFB_DATABASE_URL, CONFIGFB_STORAGE_BUCKET</t>
        </is>
      </c>
    </row>
    <row r="11" ht="22" customHeight="1">
      <c r="A11" s="13" t="n">
        <v>9</v>
      </c>
      <c r="B11" s="14" t="inlineStr">
        <is>
          <t>getValidatedUsers</t>
        </is>
      </c>
      <c r="C11" s="13" t="inlineStr">
        <is>
          <t>onRequest</t>
        </is>
      </c>
      <c r="D11" s="13" t="inlineStr">
        <is>
          <t>HTTP Request</t>
        </is>
      </c>
      <c r="E11" s="15" t="inlineStr">
        <is>
          <t>GET VALIDATED USERS</t>
        </is>
      </c>
      <c r="F11" s="13" t="inlineStr">
        <is>
          <t>Rolando</t>
        </is>
      </c>
      <c r="G11" s="15" t="inlineStr">
        <is>
          <t>functions/assets/js/members/createusers.js</t>
        </is>
      </c>
      <c r="H11" s="15" t="inlineStr">
        <is>
          <t>CONFIGFB_ADMIN_CREDENTIAL_CERT, CONFIGFB_CLIENT_EMAIL, CONFIGFB_DATABASE_NAME, CONFIGFB_DATABASE_URL, CONFIGFB_STORAGE_BUCKET</t>
        </is>
      </c>
    </row>
    <row r="12" ht="22" customHeight="1">
      <c r="A12" s="10" t="n">
        <v>10</v>
      </c>
      <c r="B12" s="16" t="inlineStr">
        <is>
          <t>userAppRegister</t>
        </is>
      </c>
      <c r="C12" s="10" t="inlineStr">
        <is>
          <t>onRequest</t>
        </is>
      </c>
      <c r="D12" s="10" t="inlineStr">
        <is>
          <t>HTTP Request</t>
        </is>
      </c>
      <c r="E12" s="17" t="inlineStr">
        <is>
          <t>USER APP REGISTRATION</t>
        </is>
      </c>
      <c r="F12" s="10" t="inlineStr">
        <is>
          <t>Rolando</t>
        </is>
      </c>
      <c r="G12" s="17" t="inlineStr">
        <is>
          <t>functions/assets/js/user/register.js</t>
        </is>
      </c>
      <c r="H12" s="17" t="inlineStr">
        <is>
          <t>CONFIGFB_ADMIN_CREDENTIAL_CERT, CONFIGFB_CLIENT_EMAIL, CONFIGFB_DATABASE_NAME, CONFIGFB_DATABASE_URL, CONFIGFB_STORAGE_BUCKET, CTM_CRYPT_IV_LENGTH, CTM_CRYPT_SECRET_KEY</t>
        </is>
      </c>
    </row>
    <row r="13" ht="22" customHeight="1">
      <c r="A13" s="13" t="n">
        <v>11</v>
      </c>
      <c r="B13" s="14" t="inlineStr">
        <is>
          <t>userAppUpdate</t>
        </is>
      </c>
      <c r="C13" s="13" t="inlineStr">
        <is>
          <t>onRequest</t>
        </is>
      </c>
      <c r="D13" s="13" t="inlineStr">
        <is>
          <t>HTTP Request</t>
        </is>
      </c>
      <c r="E13" s="15" t="inlineStr">
        <is>
          <t>USER APP UPDATE</t>
        </is>
      </c>
      <c r="F13" s="13" t="inlineStr">
        <is>
          <t>Rolando</t>
        </is>
      </c>
      <c r="G13" s="15" t="inlineStr">
        <is>
          <t>functions/assets/js/user/register.js</t>
        </is>
      </c>
      <c r="H13" s="15" t="inlineStr">
        <is>
          <t>CONFIGFB_ADMIN_CREDENTIAL_CERT, CONFIGFB_CLIENT_EMAIL, CONFIGFB_DATABASE_NAME, CONFIGFB_DATABASE_URL, CONFIGFB_STORAGE_BUCKET, CTM_CRYPT_IV_LENGTH, CTM_CRYPT_SECRET_KEY</t>
        </is>
      </c>
    </row>
    <row r="14" ht="22" customHeight="1">
      <c r="A14" s="10" t="n">
        <v>12</v>
      </c>
      <c r="B14" s="16" t="inlineStr">
        <is>
          <t>getAllAuthUsers</t>
        </is>
      </c>
      <c r="C14" s="10" t="inlineStr">
        <is>
          <t>onRequest</t>
        </is>
      </c>
      <c r="D14" s="10" t="inlineStr">
        <is>
          <t>HTTP Request</t>
        </is>
      </c>
      <c r="E14" s="17" t="inlineStr">
        <is>
          <t>GET ALL AUTH USERS</t>
        </is>
      </c>
      <c r="F14" s="10" t="inlineStr">
        <is>
          <t>Miguel</t>
        </is>
      </c>
      <c r="G14" s="17" t="inlineStr">
        <is>
          <t>functions/assets/js/members/createusers.js</t>
        </is>
      </c>
      <c r="H14" s="17" t="inlineStr">
        <is>
          <t>CONFIGFB_ADMIN_CREDENTIAL_CERT, CONFIGFB_CLIENT_EMAIL, CONFIGFB_DATABASE_NAME, CONFIGFB_DATABASE_URL, CONFIGFB_STORAGE_BUCKET</t>
        </is>
      </c>
    </row>
    <row r="15" ht="22" customHeight="1">
      <c r="A15" s="13" t="n">
        <v>13</v>
      </c>
      <c r="B15" s="14" t="inlineStr">
        <is>
          <t>getAuthUsersByList</t>
        </is>
      </c>
      <c r="C15" s="13" t="inlineStr">
        <is>
          <t>onRequest</t>
        </is>
      </c>
      <c r="D15" s="13" t="inlineStr">
        <is>
          <t>HTTP Request</t>
        </is>
      </c>
      <c r="E15" s="15" t="inlineStr">
        <is>
          <t>GET AUTH USERS BY LIST</t>
        </is>
      </c>
      <c r="F15" s="13" t="inlineStr">
        <is>
          <t>Miguel</t>
        </is>
      </c>
      <c r="G15" s="15" t="inlineStr">
        <is>
          <t>functions/assets/js/members/createusers.js</t>
        </is>
      </c>
      <c r="H15" s="15" t="inlineStr">
        <is>
          <t>CONFIGFB_ADMIN_CREDENTIAL_CERT, CONFIGFB_CLIENT_EMAIL, CONFIGFB_DATABASE_NAME, CONFIGFB_DATABASE_URL, CONFIGFB_STORAGE_BUCKET</t>
        </is>
      </c>
    </row>
    <row r="16" ht="22" customHeight="1">
      <c r="A16" s="10" t="n">
        <v>14</v>
      </c>
      <c r="B16" s="16" t="inlineStr">
        <is>
          <t>generateHtmlCertificate</t>
        </is>
      </c>
      <c r="C16" s="10" t="inlineStr">
        <is>
          <t>onRequest</t>
        </is>
      </c>
      <c r="D16" s="10" t="inlineStr">
        <is>
          <t>HTTP Request</t>
        </is>
      </c>
      <c r="E16" s="17" t="inlineStr">
        <is>
          <t>GEN HTML CERT</t>
        </is>
      </c>
      <c r="F16" s="10" t="inlineStr">
        <is>
          <t>Miguel</t>
        </is>
      </c>
      <c r="G16" s="17" t="inlineStr">
        <is>
          <t>functions/assets/js/pdf/html.js</t>
        </is>
      </c>
      <c r="H16" s="17" t="inlineStr">
        <is>
          <t>CONFIGFB_ADMIN_CREDENTIAL_CERT, CONFIGFB_CLIENT_EMAIL, CONFIGFB_DATABASE_NAME, CONFIGFB_DATABASE_URL, CONFIGFB_STORAGE_BUCKET</t>
        </is>
      </c>
    </row>
    <row r="17" ht="22" customHeight="1">
      <c r="A17" s="13" t="n">
        <v>15</v>
      </c>
      <c r="B17" s="14" t="inlineStr">
        <is>
          <t>generatePDF</t>
        </is>
      </c>
      <c r="C17" s="13" t="inlineStr">
        <is>
          <t>onRequest</t>
        </is>
      </c>
      <c r="D17" s="13" t="inlineStr">
        <is>
          <t>HTTP Request</t>
        </is>
      </c>
      <c r="E17" s="15" t="inlineStr">
        <is>
          <t>GEN PDF FILE</t>
        </is>
      </c>
      <c r="F17" s="13" t="inlineStr">
        <is>
          <t>Miguel</t>
        </is>
      </c>
      <c r="G17" s="15" t="inlineStr">
        <is>
          <t>functions/assets/js/pdf/pdf.js</t>
        </is>
      </c>
      <c r="H17" s="15" t="inlineStr">
        <is>
          <t>CONFIGFB_API_URL</t>
        </is>
      </c>
    </row>
    <row r="18" ht="22" customHeight="1">
      <c r="A18" s="10" t="n">
        <v>16</v>
      </c>
      <c r="B18" s="16" t="inlineStr">
        <is>
          <t>getSpecialties</t>
        </is>
      </c>
      <c r="C18" s="10" t="inlineStr">
        <is>
          <t>onRequest</t>
        </is>
      </c>
      <c r="D18" s="10" t="inlineStr">
        <is>
          <t>HTTP Request</t>
        </is>
      </c>
      <c r="E18" s="17" t="inlineStr">
        <is>
          <t>GET ALL SPECIALTIES</t>
        </is>
      </c>
      <c r="F18" s="10" t="inlineStr">
        <is>
          <t>Rolando</t>
        </is>
      </c>
      <c r="G18" s="17" t="inlineStr">
        <is>
          <t>functions/assets/js/specialties/specialties.js</t>
        </is>
      </c>
      <c r="H18" s="17" t="inlineStr">
        <is>
          <t>CONFIGFB_ADMIN_CREDENTIAL_CERT, CONFIGFB_CLIENT_EMAIL, CONFIGFB_DATABASE_NAME, CONFIGFB_DATABASE_URL, CONFIGFB_STORAGE_BUCKET</t>
        </is>
      </c>
    </row>
    <row r="19" ht="22" customHeight="1">
      <c r="A19" s="13" t="n">
        <v>17</v>
      </c>
      <c r="B19" s="14" t="inlineStr">
        <is>
          <t>getSpecialty</t>
        </is>
      </c>
      <c r="C19" s="13" t="inlineStr">
        <is>
          <t>onRequest</t>
        </is>
      </c>
      <c r="D19" s="13" t="inlineStr">
        <is>
          <t>HTTP Request</t>
        </is>
      </c>
      <c r="E19" s="15" t="inlineStr">
        <is>
          <t>GET SPECIALTY BY ID</t>
        </is>
      </c>
      <c r="F19" s="13" t="inlineStr">
        <is>
          <t>Rolando</t>
        </is>
      </c>
      <c r="G19" s="15" t="inlineStr">
        <is>
          <t>functions/assets/js/specialties/specialties.js</t>
        </is>
      </c>
      <c r="H19" s="15" t="inlineStr">
        <is>
          <t>CONFIGFB_ADMIN_CREDENTIAL_CERT, CONFIGFB_CLIENT_EMAIL, CONFIGFB_DATABASE_NAME, CONFIGFB_DATABASE_URL, CONFIGFB_STORAGE_BUCKET</t>
        </is>
      </c>
    </row>
    <row r="20" ht="22" customHeight="1">
      <c r="A20" s="10" t="n">
        <v>18</v>
      </c>
      <c r="B20" s="16" t="inlineStr">
        <is>
          <t>conectimed_landing</t>
        </is>
      </c>
      <c r="C20" s="10" t="inlineStr">
        <is>
          <t>onRequest</t>
        </is>
      </c>
      <c r="D20" s="10" t="inlineStr">
        <is>
          <t>HTTP Request</t>
        </is>
      </c>
      <c r="E20" s="17" t="inlineStr">
        <is>
          <t>CONECTIMED LANDING</t>
        </is>
      </c>
      <c r="F20" s="10" t="inlineStr">
        <is>
          <t>MIGUEL</t>
        </is>
      </c>
      <c r="G20" s="17" t="inlineStr">
        <is>
          <t>functions/assets/js/conectimed_landing/landing.js</t>
        </is>
      </c>
      <c r="H20" s="17" t="inlineStr">
        <is>
          <t>CONFIGAPP_URL, CONFIGFB_ADMIN_CREDENTIAL_CERT, CONFIGFB_CLIENT_EMAIL, CONFIGFB_DATABASE_NAME, CONFIGFB_DATABASE_URL, CONFIGFB_STORAGE_BUCKET</t>
        </is>
      </c>
    </row>
    <row r="21" ht="22" customHeight="1">
      <c r="A21" s="13" t="n">
        <v>19</v>
      </c>
      <c r="B21" s="14" t="inlineStr">
        <is>
          <t>lastForoPosts</t>
        </is>
      </c>
      <c r="C21" s="13" t="inlineStr">
        <is>
          <t>onRequest</t>
        </is>
      </c>
      <c r="D21" s="13" t="inlineStr">
        <is>
          <t>HTTP Request</t>
        </is>
      </c>
      <c r="E21" s="15" t="inlineStr">
        <is>
          <t>LASTFOROPOSTS</t>
        </is>
      </c>
      <c r="F21" s="13" t="inlineStr">
        <is>
          <t>MIGUEL</t>
        </is>
      </c>
      <c r="G21" s="15" t="inlineStr">
        <is>
          <t>functions/assets/js/members/lastForoPost.js</t>
        </is>
      </c>
      <c r="H21" s="15" t="inlineStr">
        <is>
          <t>Ninguno</t>
        </is>
      </c>
    </row>
    <row r="22" ht="22" customHeight="1">
      <c r="A22" s="10" t="n">
        <v>20</v>
      </c>
      <c r="B22" s="16" t="inlineStr">
        <is>
          <t>generateHtmlCertificate</t>
        </is>
      </c>
      <c r="C22" s="10" t="inlineStr">
        <is>
          <t>onRequest</t>
        </is>
      </c>
      <c r="D22" s="10" t="inlineStr">
        <is>
          <t>HTTP Request</t>
        </is>
      </c>
      <c r="E22" s="17" t="inlineStr">
        <is>
          <t>GEN HTML CERT</t>
        </is>
      </c>
      <c r="F22" s="10" t="inlineStr">
        <is>
          <t>Miguel</t>
        </is>
      </c>
      <c r="G22" s="17" t="inlineStr">
        <is>
          <t>functions/assets/js/pdf/html.js</t>
        </is>
      </c>
      <c r="H22" s="17" t="inlineStr">
        <is>
          <t>CONFIGFB_ADMIN_CREDENTIAL_CERT, CONFIGFB_CLIENT_EMAIL, CONFIGFB_DATABASE_NAME, CONFIGFB_DATABASE_URL, CONFIGFB_STORAGE_BUCKET</t>
        </is>
      </c>
    </row>
    <row r="23" ht="22" customHeight="1">
      <c r="A23" s="13" t="n">
        <v>21</v>
      </c>
      <c r="B23" s="14" t="inlineStr">
        <is>
          <t>virtualSessionsAttendanceConfirmationCountFix</t>
        </is>
      </c>
      <c r="C23" s="13" t="inlineStr">
        <is>
          <t>onRequest</t>
        </is>
      </c>
      <c r="D23" s="13" t="inlineStr">
        <is>
          <t>HTTP Request</t>
        </is>
      </c>
      <c r="E23" s="15" t="inlineStr">
        <is>
          <t>FIX THE AMOUNT OF VIRTUAL SESSIONS ASSISTANCE CONFIRMATIONS IN BIGQUERY</t>
        </is>
      </c>
      <c r="F23" s="13" t="inlineStr">
        <is>
          <t>Rolando</t>
        </is>
      </c>
      <c r="G23" s="15" t="inlineStr">
        <is>
          <t>functions/index.js</t>
        </is>
      </c>
      <c r="H23" s="15" t="inlineStr">
        <is>
          <t>Ninguno</t>
        </is>
      </c>
    </row>
    <row r="24" ht="22" customHeight="1">
      <c r="A24" s="10" t="n">
        <v>22</v>
      </c>
      <c r="B24" s="16" t="inlineStr">
        <is>
          <t>zohoExportRequest</t>
        </is>
      </c>
      <c r="C24" s="10" t="inlineStr">
        <is>
          <t>onRequest</t>
        </is>
      </c>
      <c r="D24" s="10" t="inlineStr">
        <is>
          <t>HTTP Request</t>
        </is>
      </c>
      <c r="E24" s="17" t="inlineStr">
        <is>
          <t>EXPORT TO ZOHO (REQUEST)</t>
        </is>
      </c>
      <c r="F24" s="10" t="inlineStr">
        <is>
          <t>Rolando</t>
        </is>
      </c>
      <c r="G24" s="17" t="inlineStr">
        <is>
          <t>functions/assets/js/zoho/zoho.js</t>
        </is>
      </c>
      <c r="H24" s="17" t="inlineStr">
        <is>
          <t>CONFIGFB_ADMIN_CREDENTIAL_CERT, CONFIGFB_CLIENT_EMAIL, CONFIGFB_DATABASE_NAME, CONFIGFB_DATABASE_URL, CONFIGFB_STORAGE_BUCKET, ZOHO_INTEGRATION_URL</t>
        </is>
      </c>
    </row>
    <row r="25" ht="22" customHeight="1">
      <c r="A25" s="13" t="n">
        <v>23</v>
      </c>
      <c r="B25" s="14" t="inlineStr">
        <is>
          <t>zohoExportmarkAllUsersPendingRequest</t>
        </is>
      </c>
      <c r="C25" s="13" t="inlineStr">
        <is>
          <t>onRequest</t>
        </is>
      </c>
      <c r="D25" s="13" t="inlineStr">
        <is>
          <t>HTTP Request</t>
        </is>
      </c>
      <c r="E25" s="15" t="inlineStr">
        <is>
          <t>EXPORT TO ZOHO (REQUEST)</t>
        </is>
      </c>
      <c r="F25" s="13" t="inlineStr">
        <is>
          <t>Rolando</t>
        </is>
      </c>
      <c r="G25" s="15" t="inlineStr">
        <is>
          <t>functions/assets/js/zoho/zoho.js</t>
        </is>
      </c>
      <c r="H25" s="15" t="inlineStr">
        <is>
          <t>CONFIGFB_ADMIN_CREDENTIAL_CERT, CONFIGFB_CLIENT_EMAIL, CONFIGFB_DATABASE_NAME, CONFIGFB_DATABASE_URL, CONFIGFB_STORAGE_BUCKET, ZOHO_INTEGRATION_URL</t>
        </is>
      </c>
    </row>
    <row r="26" ht="22" customHeight="1">
      <c r="A26" s="10" t="n">
        <v>24</v>
      </c>
      <c r="B26" s="16" t="inlineStr">
        <is>
          <t>zohoExportSingleRequest</t>
        </is>
      </c>
      <c r="C26" s="10" t="inlineStr">
        <is>
          <t>onRequest</t>
        </is>
      </c>
      <c r="D26" s="10" t="inlineStr">
        <is>
          <t>HTTP Request</t>
        </is>
      </c>
      <c r="E26" s="17" t="inlineStr">
        <is>
          <t>EXPORT SINGLE USER TO ZOHO (REQUEST)</t>
        </is>
      </c>
      <c r="F26" s="10" t="inlineStr">
        <is>
          <t>Rolando</t>
        </is>
      </c>
      <c r="G26" s="17" t="inlineStr">
        <is>
          <t>functions/assets/js/zoho/zoho.js</t>
        </is>
      </c>
      <c r="H26" s="17" t="inlineStr">
        <is>
          <t>CONFIGFB_ADMIN_CREDENTIAL_CERT, CONFIGFB_CLIENT_EMAIL, CONFIGFB_DATABASE_NAME, CONFIGFB_DATABASE_URL, CONFIGFB_STORAGE_BUCKET, ZOHO_INTEGRATION_URL</t>
        </is>
      </c>
    </row>
    <row r="27" ht="22" customHeight="1">
      <c r="A27" s="13" t="n">
        <v>25</v>
      </c>
      <c r="B27" s="14" t="inlineStr">
        <is>
          <t>getVirtualSessionsAttendanceConfirmation</t>
        </is>
      </c>
      <c r="C27" s="13" t="inlineStr">
        <is>
          <t>onRequest</t>
        </is>
      </c>
      <c r="D27" s="13" t="inlineStr">
        <is>
          <t>HTTP Request</t>
        </is>
      </c>
      <c r="E27" s="15" t="inlineStr">
        <is>
          <t>OBTAINING CONFIRMATION OF ATTENDANCE AT VIRTUAL SESSIONS</t>
        </is>
      </c>
      <c r="F27" s="13" t="inlineStr">
        <is>
          <t>Rolando</t>
        </is>
      </c>
      <c r="G27" s="15" t="inlineStr">
        <is>
          <t>functions/assets/js/testing/testing.js</t>
        </is>
      </c>
      <c r="H27" s="15" t="inlineStr">
        <is>
          <t>CONFIGFB_ADMIN_CREDENTIAL_CERT, CONFIGFB_CLIENT_EMAIL, CONFIGFB_DATABASE_NAME, CONFIGFB_DATABASE_URL, CONFIGFB_STORAGE_BUCKET</t>
        </is>
      </c>
    </row>
    <row r="28" ht="22" customHeight="1">
      <c r="A28" s="10" t="n">
        <v>26</v>
      </c>
      <c r="B28" s="16" t="inlineStr">
        <is>
          <t>chatBatch</t>
        </is>
      </c>
      <c r="C28" s="10" t="inlineStr">
        <is>
          <t>onRequest</t>
        </is>
      </c>
      <c r="D28" s="10" t="inlineStr">
        <is>
          <t>HTTP Request</t>
        </is>
      </c>
      <c r="E28" s="17" t="inlineStr">
        <is>
          <t>INIT THE #CHAT BATCH OPERATION</t>
        </is>
      </c>
      <c r="F28" s="10" t="inlineStr">
        <is>
          <t>Rolando</t>
        </is>
      </c>
      <c r="G28" s="17" t="inlineStr">
        <is>
          <t>functions/assets/js/chat/chatBatch.js</t>
        </is>
      </c>
      <c r="H28" s="17" t="inlineStr">
        <is>
          <t>Ninguno</t>
        </is>
      </c>
    </row>
    <row r="29" ht="22" customHeight="1">
      <c r="A29" s="13" t="n">
        <v>27</v>
      </c>
      <c r="B29" s="14" t="inlineStr">
        <is>
          <t>generateCode</t>
        </is>
      </c>
      <c r="C29" s="13" t="inlineStr">
        <is>
          <t>onRequest</t>
        </is>
      </c>
      <c r="D29" s="13" t="inlineStr">
        <is>
          <t>HTTP Request</t>
        </is>
      </c>
      <c r="E29" s="15" t="inlineStr">
        <is>
          <t>SEND CODE TO RESET PASSWORD</t>
        </is>
      </c>
      <c r="F29" s="13" t="inlineStr">
        <is>
          <t>Rolando</t>
        </is>
      </c>
      <c r="G29" s="15" t="inlineStr">
        <is>
          <t>functions/assets/js/user/get-user-account.js</t>
        </is>
      </c>
      <c r="H29" s="15" t="inlineStr">
        <is>
          <t>CONFIGAPP_URL, CONFIGFB_ADMIN_CREDENTIAL_CERT, CONFIGFB_API_KEY, CONFIGFB_CLIENT_EMAIL, CONFIGFB_DATABASE_NAME, CONFIGFB_DATABASE_URL, CONFIGFB_STORAGE_BUCKET, CUSTOM_SECURITY_PRIVATE_KEY, CUSTOM_SECURITY_PUBLIC_KEY, MAILING_TOKEN, MAILING_URL, SMS_TOKEN, SMS_URL, SMS_USER</t>
        </is>
      </c>
    </row>
    <row r="30" ht="22" customHeight="1">
      <c r="A30" s="10" t="n">
        <v>28</v>
      </c>
      <c r="B30" s="16" t="inlineStr">
        <is>
          <t>getAuthUserByEmailRequest</t>
        </is>
      </c>
      <c r="C30" s="10" t="inlineStr">
        <is>
          <t>onRequest</t>
        </is>
      </c>
      <c r="D30" s="10" t="inlineStr">
        <is>
          <t>HTTP Request</t>
        </is>
      </c>
      <c r="E30" s="17" t="inlineStr">
        <is>
          <t>GET USER ACCOUNT</t>
        </is>
      </c>
      <c r="F30" s="10" t="inlineStr">
        <is>
          <t>Rolando</t>
        </is>
      </c>
      <c r="G30" s="17" t="inlineStr">
        <is>
          <t>functions/assets/js/user/get-user-account.js</t>
        </is>
      </c>
      <c r="H30" s="17" t="inlineStr">
        <is>
          <t>CONFIGAPP_URL, CONFIGFB_ADMIN_CREDENTIAL_CERT, CONFIGFB_API_KEY, CONFIGFB_CLIENT_EMAIL, CONFIGFB_DATABASE_NAME, CONFIGFB_DATABASE_URL, CONFIGFB_STORAGE_BUCKET, CUSTOM_SECURITY_PRIVATE_KEY, CUSTOM_SECURITY_PUBLIC_KEY, MAILING_TOKEN, MAILING_URL, SMS_TOKEN, SMS_URL, SMS_USER</t>
        </is>
      </c>
    </row>
    <row r="31" ht="22" customHeight="1">
      <c r="A31" s="13" t="n">
        <v>29</v>
      </c>
      <c r="B31" s="14" t="inlineStr">
        <is>
          <t>search</t>
        </is>
      </c>
      <c r="C31" s="13" t="inlineStr">
        <is>
          <t>onRequest</t>
        </is>
      </c>
      <c r="D31" s="13" t="inlineStr">
        <is>
          <t>HTTP Request</t>
        </is>
      </c>
      <c r="E31" s="15" t="inlineStr">
        <is>
          <t>PREREGISTRO SEARCH</t>
        </is>
      </c>
      <c r="F31" s="13" t="inlineStr">
        <is>
          <t>Migrated v2</t>
        </is>
      </c>
      <c r="G31" s="15" t="inlineStr">
        <is>
          <t>functions/assets/js/preregistro/search.js</t>
        </is>
      </c>
      <c r="H31" s="15" t="inlineStr">
        <is>
          <t>CONFIGFB_ADMIN_CREDENTIAL_CERT, CONFIGFB_CLIENT_EMAIL, CONFIGFB_DATABASE_NAME, CONFIGFB_DATABASE_URL, CONFIGFB_STORAGE_BUCKET</t>
        </is>
      </c>
    </row>
    <row r="32" ht="22" customHeight="1">
      <c r="A32" s="10" t="n">
        <v>30</v>
      </c>
      <c r="B32" s="16" t="inlineStr">
        <is>
          <t>update</t>
        </is>
      </c>
      <c r="C32" s="10" t="inlineStr">
        <is>
          <t>onRequest</t>
        </is>
      </c>
      <c r="D32" s="10" t="inlineStr">
        <is>
          <t>HTTP Request</t>
        </is>
      </c>
      <c r="E32" s="17" t="inlineStr">
        <is>
          <t>PREREGISTRO UPDATE</t>
        </is>
      </c>
      <c r="F32" s="10" t="inlineStr">
        <is>
          <t>Migrated v2</t>
        </is>
      </c>
      <c r="G32" s="17" t="inlineStr">
        <is>
          <t>functions/index.js</t>
        </is>
      </c>
      <c r="H32" s="17" t="inlineStr">
        <is>
          <t>Ninguno</t>
        </is>
      </c>
    </row>
    <row r="33" ht="22" customHeight="1">
      <c r="A33" s="13" t="n">
        <v>31</v>
      </c>
      <c r="B33" s="14" t="inlineStr">
        <is>
          <t>contacts</t>
        </is>
      </c>
      <c r="C33" s="13" t="inlineStr">
        <is>
          <t>onRequest</t>
        </is>
      </c>
      <c r="D33" s="13" t="inlineStr">
        <is>
          <t>HTTP Request</t>
        </is>
      </c>
      <c r="E33" s="15" t="inlineStr">
        <is>
          <t>MEMBER CONTACTS</t>
        </is>
      </c>
      <c r="F33" s="13" t="inlineStr">
        <is>
          <t>Migrated v2</t>
        </is>
      </c>
      <c r="G33" s="15" t="inlineStr">
        <is>
          <t>functions/assets/js/members/contacts.js</t>
        </is>
      </c>
      <c r="H33" s="15" t="inlineStr">
        <is>
          <t>CONFIGFB_ADMIN_CREDENTIAL_CERT, CONFIGFB_CLIENT_EMAIL, CONFIGFB_DATABASE_NAME, CONFIGFB_DATABASE_URL, CONFIGFB_STORAGE_BUCKET</t>
        </is>
      </c>
    </row>
    <row r="34" ht="22" customHeight="1">
      <c r="A34" s="10" t="n">
        <v>32</v>
      </c>
      <c r="B34" s="16" t="inlineStr">
        <is>
          <t>filters</t>
        </is>
      </c>
      <c r="C34" s="10" t="inlineStr">
        <is>
          <t>onRequest</t>
        </is>
      </c>
      <c r="D34" s="10" t="inlineStr">
        <is>
          <t>HTTP Request</t>
        </is>
      </c>
      <c r="E34" s="17" t="inlineStr">
        <is>
          <t>MEMBER FILTERS</t>
        </is>
      </c>
      <c r="F34" s="10" t="inlineStr">
        <is>
          <t>Migrated v2</t>
        </is>
      </c>
      <c r="G34" s="17" t="inlineStr">
        <is>
          <t>functions/assets/js/members/filters.js</t>
        </is>
      </c>
      <c r="H34" s="17" t="inlineStr">
        <is>
          <t>CONFIGFB_ADMIN_CREDENTIAL_CERT, CONFIGFB_CLIENT_EMAIL, CONFIGFB_DATABASE_NAME, CONFIGFB_DATABASE_URL, CONFIGFB_STORAGE_BUCKET</t>
        </is>
      </c>
    </row>
    <row r="35" ht="22" customHeight="1">
      <c r="A35" s="13" t="n">
        <v>33</v>
      </c>
      <c r="B35" s="14" t="inlineStr">
        <is>
          <t>existInFireAuth</t>
        </is>
      </c>
      <c r="C35" s="13" t="inlineStr">
        <is>
          <t>onRequest</t>
        </is>
      </c>
      <c r="D35" s="13" t="inlineStr">
        <is>
          <t>HTTP Request</t>
        </is>
      </c>
      <c r="E35" s="15" t="inlineStr">
        <is>
          <t>EXIST IN FIRE AUTH</t>
        </is>
      </c>
      <c r="F35" s="13" t="inlineStr">
        <is>
          <t>Migrated v2</t>
        </is>
      </c>
      <c r="G35" s="15" t="inlineStr">
        <is>
          <t>functions/assets/js/members/existInFireAuth.js</t>
        </is>
      </c>
      <c r="H35" s="15" t="inlineStr">
        <is>
          <t>CONFIGFB_ADMIN_CREDENTIAL_CERT, CONFIGFB_CLIENT_EMAIL, CONFIGFB_DATABASE_NAME, CONFIGFB_DATABASE_URL, CONFIGFB_STORAGE_BUCKET</t>
        </is>
      </c>
    </row>
    <row r="36" ht="22" customHeight="1">
      <c r="A36" s="10" t="n">
        <v>34</v>
      </c>
      <c r="B36" s="16" t="inlineStr">
        <is>
          <t>createUsers</t>
        </is>
      </c>
      <c r="C36" s="10" t="inlineStr">
        <is>
          <t>onRequest</t>
        </is>
      </c>
      <c r="D36" s="10" t="inlineStr">
        <is>
          <t>HTTP Request</t>
        </is>
      </c>
      <c r="E36" s="17" t="inlineStr">
        <is>
          <t>CREATE USERS</t>
        </is>
      </c>
      <c r="F36" s="10" t="inlineStr">
        <is>
          <t>Migrated v2</t>
        </is>
      </c>
      <c r="G36" s="17" t="inlineStr">
        <is>
          <t>functions/assets/js/members/createUsersHandler.js</t>
        </is>
      </c>
      <c r="H36" s="17" t="inlineStr">
        <is>
          <t>CONFIGFB_ADMIN_CREDENTIAL_CERT, CONFIGFB_CLIENT_EMAIL, CONFIGFB_DATABASE_NAME, CONFIGFB_DATABASE_URL, CONFIGFB_STORAGE_BUCKET</t>
        </is>
      </c>
    </row>
    <row r="37" ht="22" customHeight="1">
      <c r="A37" s="13" t="n">
        <v>35</v>
      </c>
      <c r="B37" s="14" t="inlineStr">
        <is>
          <t>deleteUsers</t>
        </is>
      </c>
      <c r="C37" s="13" t="inlineStr">
        <is>
          <t>onRequest</t>
        </is>
      </c>
      <c r="D37" s="13" t="inlineStr">
        <is>
          <t>HTTP Request</t>
        </is>
      </c>
      <c r="E37" s="15" t="inlineStr">
        <is>
          <t>DELETE USERS</t>
        </is>
      </c>
      <c r="F37" s="13" t="inlineStr">
        <is>
          <t>Migrated v2</t>
        </is>
      </c>
      <c r="G37" s="15" t="inlineStr">
        <is>
          <t>functions/assets/js/members/deleteUsersHandler.js</t>
        </is>
      </c>
      <c r="H37" s="15" t="inlineStr">
        <is>
          <t>CONFIGFB_ADMIN_CREDENTIAL_CERT, CONFIGFB_CLIENT_EMAIL, CONFIGFB_DATABASE_NAME, CONFIGFB_DATABASE_URL, CONFIGFB_STORAGE_BUCKET</t>
        </is>
      </c>
    </row>
    <row r="38" ht="22" customHeight="1">
      <c r="A38" s="10" t="n">
        <v>36</v>
      </c>
      <c r="B38" s="16" t="inlineStr">
        <is>
          <t>tokens</t>
        </is>
      </c>
      <c r="C38" s="10" t="inlineStr">
        <is>
          <t>onRequest</t>
        </is>
      </c>
      <c r="D38" s="10" t="inlineStr">
        <is>
          <t>HTTP Request</t>
        </is>
      </c>
      <c r="E38" s="17" t="inlineStr">
        <is>
          <t>TOKENS</t>
        </is>
      </c>
      <c r="F38" s="10" t="inlineStr">
        <is>
          <t>Migrated v2</t>
        </is>
      </c>
      <c r="G38" s="17" t="inlineStr">
        <is>
          <t>functions/assets/js/utils/tokens.js</t>
        </is>
      </c>
      <c r="H38" s="17" t="inlineStr">
        <is>
          <t>CONFIGFB_ADMIN_CREDENTIAL_CERT, CONFIGFB_CLIENT_EMAIL, CONFIGFB_DATABASE_NAME, CONFIGFB_DATABASE_URL, CONFIGFB_STORAGE_BUCKET</t>
        </is>
      </c>
    </row>
    <row r="39" ht="22" customHeight="1">
      <c r="A39" s="13" t="n">
        <v>37</v>
      </c>
      <c r="B39" s="14" t="inlineStr">
        <is>
          <t>getFbToken</t>
        </is>
      </c>
      <c r="C39" s="13" t="inlineStr">
        <is>
          <t>onRequest</t>
        </is>
      </c>
      <c r="D39" s="13" t="inlineStr">
        <is>
          <t>HTTP Request</t>
        </is>
      </c>
      <c r="E39" s="15" t="inlineStr">
        <is>
          <t>GET FB TOKEN</t>
        </is>
      </c>
      <c r="F39" s="13" t="inlineStr">
        <is>
          <t>Migrated v2</t>
        </is>
      </c>
      <c r="G39" s="15" t="inlineStr">
        <is>
          <t>functions/assets/js/user/getFbToken.js</t>
        </is>
      </c>
      <c r="H39" s="15" t="inlineStr">
        <is>
          <t>CONFIGFB_ADMIN_CREDENTIAL_CERT, CONFIGFB_CLIENT_EMAIL, CONFIGFB_DATABASE_NAME, CONFIGFB_DATABASE_URL, CONFIGFB_STORAGE_BUCKET</t>
        </is>
      </c>
    </row>
    <row r="40" ht="22" customHeight="1">
      <c r="A40" s="10" t="n">
        <v>38</v>
      </c>
      <c r="B40" s="16" t="inlineStr">
        <is>
          <t>isFullMigratedWP</t>
        </is>
      </c>
      <c r="C40" s="10" t="inlineStr">
        <is>
          <t>onCall</t>
        </is>
      </c>
      <c r="D40" s="10" t="inlineStr">
        <is>
          <t>Callable (HTTPS)</t>
        </is>
      </c>
      <c r="E40" s="17" t="inlineStr">
        <is>
          <t>IS FULL MIGRATED WP</t>
        </is>
      </c>
      <c r="F40" s="10" t="inlineStr">
        <is>
          <t>Migrated v2</t>
        </is>
      </c>
      <c r="G40" s="17" t="inlineStr">
        <is>
          <t>functions/assets/js/user/isFullMigratedWP.js</t>
        </is>
      </c>
      <c r="H40" s="17" t="inlineStr">
        <is>
          <t>CONFIGFB_ADMIN_CREDENTIAL_CERT, CONFIGFB_CLIENT_EMAIL, CONFIGFB_DATABASE_NAME, CONFIGFB_DATABASE_URL, CONFIGFB_STORAGE_BUCKET</t>
        </is>
      </c>
    </row>
    <row r="41" ht="22" customHeight="1">
      <c r="A41" s="13" t="n">
        <v>39</v>
      </c>
      <c r="B41" s="14" t="inlineStr">
        <is>
          <t>changePasswordWPFB</t>
        </is>
      </c>
      <c r="C41" s="13" t="inlineStr">
        <is>
          <t>onCall</t>
        </is>
      </c>
      <c r="D41" s="13" t="inlineStr">
        <is>
          <t>Callable (HTTPS)</t>
        </is>
      </c>
      <c r="E41" s="15" t="inlineStr">
        <is>
          <t>CHANGE PASSWORD WP FB</t>
        </is>
      </c>
      <c r="F41" s="13" t="inlineStr">
        <is>
          <t>Migrated v2</t>
        </is>
      </c>
      <c r="G41" s="15" t="inlineStr">
        <is>
          <t>functions/assets/js/user/changePasswordWPFB.js</t>
        </is>
      </c>
      <c r="H41" s="15" t="inlineStr">
        <is>
          <t>CONFIGFB_ADMIN_CREDENTIAL_CERT, CONFIGFB_CLIENT_EMAIL, CONFIGFB_DATABASE_NAME, CONFIGFB_DATABASE_URL, CONFIGFB_STORAGE_BUCKET</t>
        </is>
      </c>
    </row>
    <row r="42" ht="22" customHeight="1">
      <c r="A42" s="10" t="n">
        <v>40</v>
      </c>
      <c r="B42" s="16" t="inlineStr">
        <is>
          <t>generateTokenWP</t>
        </is>
      </c>
      <c r="C42" s="10" t="inlineStr">
        <is>
          <t>onCall</t>
        </is>
      </c>
      <c r="D42" s="10" t="inlineStr">
        <is>
          <t>Callable (HTTPS)</t>
        </is>
      </c>
      <c r="E42" s="17" t="inlineStr">
        <is>
          <t>GENERATE TOKEN WP</t>
        </is>
      </c>
      <c r="F42" s="10" t="inlineStr">
        <is>
          <t>Migrated v2</t>
        </is>
      </c>
      <c r="G42" s="17" t="inlineStr">
        <is>
          <t>functions/assets/js/utils/generateTokenWP.js</t>
        </is>
      </c>
      <c r="H42" s="17" t="inlineStr">
        <is>
          <t>Ninguno</t>
        </is>
      </c>
    </row>
    <row r="43" ht="22" customHeight="1">
      <c r="A43" s="13" t="n">
        <v>41</v>
      </c>
      <c r="B43" s="14" t="inlineStr">
        <is>
          <t>generateTokenZoom</t>
        </is>
      </c>
      <c r="C43" s="13" t="inlineStr">
        <is>
          <t>onCall</t>
        </is>
      </c>
      <c r="D43" s="13" t="inlineStr">
        <is>
          <t>Callable (HTTPS)</t>
        </is>
      </c>
      <c r="E43" s="15" t="inlineStr">
        <is>
          <t>GENERATE TOKEN ZOOM</t>
        </is>
      </c>
      <c r="F43" s="13" t="inlineStr">
        <is>
          <t>Migrated v2</t>
        </is>
      </c>
      <c r="G43" s="15" t="inlineStr">
        <is>
          <t>functions/assets/js/utils/generateTokenZoom.js</t>
        </is>
      </c>
      <c r="H43" s="15" t="inlineStr">
        <is>
          <t>Ninguno</t>
        </is>
      </c>
    </row>
    <row r="44" ht="22" customHeight="1">
      <c r="A44" s="10" t="n">
        <v>42</v>
      </c>
      <c r="B44" s="16" t="inlineStr">
        <is>
          <t>listCards</t>
        </is>
      </c>
      <c r="C44" s="10" t="inlineStr">
        <is>
          <t>onCall</t>
        </is>
      </c>
      <c r="D44" s="10" t="inlineStr">
        <is>
          <t>Callable (HTTPS)</t>
        </is>
      </c>
      <c r="E44" s="17" t="inlineStr">
        <is>
          <t>LIST CARDS</t>
        </is>
      </c>
      <c r="F44" s="10" t="inlineStr">
        <is>
          <t>Migrated v2</t>
        </is>
      </c>
      <c r="G44" s="17" t="inlineStr">
        <is>
          <t>functions/assets/js/payments/listCards.js</t>
        </is>
      </c>
      <c r="H44" s="17" t="inlineStr">
        <is>
          <t>Ninguno</t>
        </is>
      </c>
    </row>
    <row r="45" ht="22" customHeight="1">
      <c r="A45" s="13" t="n">
        <v>43</v>
      </c>
      <c r="B45" s="14" t="inlineStr">
        <is>
          <t>setPoints</t>
        </is>
      </c>
      <c r="C45" s="13" t="inlineStr">
        <is>
          <t>onCall</t>
        </is>
      </c>
      <c r="D45" s="13" t="inlineStr">
        <is>
          <t>Callable (HTTPS)</t>
        </is>
      </c>
      <c r="E45" s="15" t="inlineStr">
        <is>
          <t>SET POINTS</t>
        </is>
      </c>
      <c r="F45" s="13" t="inlineStr">
        <is>
          <t>Migrated v2</t>
        </is>
      </c>
      <c r="G45" s="15" t="inlineStr">
        <is>
          <t>functions/assets/js/payments/setPoints.js</t>
        </is>
      </c>
      <c r="H45" s="15" t="inlineStr">
        <is>
          <t>CONFIGFB_ADMIN_CREDENTIAL_CERT, CONFIGFB_CLIENT_EMAIL, CONFIGFB_DATABASE_NAME, CONFIGFB_DATABASE_URL, CONFIGFB_STORAGE_BUCKET</t>
        </is>
      </c>
    </row>
    <row r="46" ht="22" customHeight="1">
      <c r="A46" s="10" t="n">
        <v>44</v>
      </c>
      <c r="B46" s="16" t="inlineStr">
        <is>
          <t>createAuthUser</t>
        </is>
      </c>
      <c r="C46" s="10" t="inlineStr">
        <is>
          <t>onCall</t>
        </is>
      </c>
      <c r="D46" s="10" t="inlineStr">
        <is>
          <t>Callable (HTTPS)</t>
        </is>
      </c>
      <c r="E46" s="17" t="inlineStr">
        <is>
          <t>CREATE AUTH USER</t>
        </is>
      </c>
      <c r="F46" s="10" t="inlineStr">
        <is>
          <t>Migrated v2</t>
        </is>
      </c>
      <c r="G46" s="17" t="inlineStr">
        <is>
          <t>functions/assets/js/members/createUsersHandler.js</t>
        </is>
      </c>
      <c r="H46" s="17" t="inlineStr">
        <is>
          <t>CONFIGFB_ADMIN_CREDENTIAL_CERT, CONFIGFB_CLIENT_EMAIL, CONFIGFB_DATABASE_NAME, CONFIGFB_DATABASE_URL, CONFIGFB_STORAGE_BUCKET</t>
        </is>
      </c>
    </row>
    <row r="47" ht="22" customHeight="1">
      <c r="A47" s="13" t="n">
        <v>45</v>
      </c>
      <c r="B47" s="14" t="inlineStr">
        <is>
          <t>checkRepresentantive</t>
        </is>
      </c>
      <c r="C47" s="13" t="inlineStr">
        <is>
          <t>onCall</t>
        </is>
      </c>
      <c r="D47" s="13" t="inlineStr">
        <is>
          <t>Callable (HTTPS)</t>
        </is>
      </c>
      <c r="E47" s="15" t="inlineStr">
        <is>
          <t>CHECK REPRESENTANTIVE</t>
        </is>
      </c>
      <c r="F47" s="13" t="inlineStr">
        <is>
          <t>Migrated v2</t>
        </is>
      </c>
      <c r="G47" s="15" t="inlineStr">
        <is>
          <t>functions/assets/js/triggers/plans.js</t>
        </is>
      </c>
      <c r="H47" s="15" t="inlineStr">
        <is>
          <t>CONFIGFB_ADMIN_CREDENTIAL_CERT, CONFIGFB_CLIENT_EMAIL, CONFIGFB_DATABASE_NAME, CONFIGFB_DATABASE_URL, CONFIGFB_STORAGE_BUCKET</t>
        </is>
      </c>
    </row>
    <row r="48" ht="22" customHeight="1">
      <c r="A48" s="10" t="n">
        <v>46</v>
      </c>
      <c r="B48" s="16" t="inlineStr">
        <is>
          <t>certificadosBatch</t>
        </is>
      </c>
      <c r="C48" s="10" t="inlineStr">
        <is>
          <t>onRequest</t>
        </is>
      </c>
      <c r="D48" s="10" t="inlineStr">
        <is>
          <t>HTTP Request</t>
        </is>
      </c>
      <c r="E48" s="17" t="inlineStr">
        <is>
          <t>CERTIFICADOS BATCH</t>
        </is>
      </c>
      <c r="F48" s="10" t="inlineStr">
        <is>
          <t>Migrated v2</t>
        </is>
      </c>
      <c r="G48" s="17" t="inlineStr">
        <is>
          <t>functions/assets/js/certificados/certificadosBatch.js</t>
        </is>
      </c>
      <c r="H48" s="17" t="inlineStr">
        <is>
          <t>CONFIGFB_ADMIN_CREDENTIAL_CERT, CONFIGFB_CLIENT_EMAIL, CONFIGFB_DATABASE_NAME, CONFIGFB_DATABASE_URL, CONFIGFB_STORAGE_BUCKET</t>
        </is>
      </c>
    </row>
    <row r="49" ht="22" customHeight="1">
      <c r="A49" s="13" t="n">
        <v>47</v>
      </c>
      <c r="B49" s="14" t="inlineStr">
        <is>
          <t>changePassword</t>
        </is>
      </c>
      <c r="C49" s="13" t="inlineStr">
        <is>
          <t>onRequest</t>
        </is>
      </c>
      <c r="D49" s="13" t="inlineStr">
        <is>
          <t>HTTP Request</t>
        </is>
      </c>
      <c r="E49" s="15" t="inlineStr">
        <is>
          <t>CHANGE PASSWORD</t>
        </is>
      </c>
      <c r="F49" s="13" t="inlineStr">
        <is>
          <t>Migrated v2</t>
        </is>
      </c>
      <c r="G49" s="15" t="inlineStr">
        <is>
          <t>functions/assets/js/user/changePassword.js</t>
        </is>
      </c>
      <c r="H49" s="15" t="inlineStr">
        <is>
          <t>CONFIGFB_ADMIN_CREDENTIAL_CERT, CONFIGFB_CLIENT_EMAIL, CONFIGFB_DATABASE_NAME, CONFIGFB_DATABASE_URL, CONFIGFB_STORAGE_BUCKET</t>
        </is>
      </c>
    </row>
    <row r="50" ht="22" customHeight="1">
      <c r="A50" s="10" t="n">
        <v>48</v>
      </c>
      <c r="B50" s="16" t="inlineStr">
        <is>
          <t>checkCode</t>
        </is>
      </c>
      <c r="C50" s="10" t="inlineStr">
        <is>
          <t>onRequest</t>
        </is>
      </c>
      <c r="D50" s="10" t="inlineStr">
        <is>
          <t>HTTP Request</t>
        </is>
      </c>
      <c r="E50" s="17" t="inlineStr">
        <is>
          <t>CHECK CODE</t>
        </is>
      </c>
      <c r="F50" s="10" t="inlineStr">
        <is>
          <t>Migrated v2</t>
        </is>
      </c>
      <c r="G50" s="17" t="inlineStr">
        <is>
          <t>functions/assets/js/user/checkCode.js</t>
        </is>
      </c>
      <c r="H50" s="17" t="inlineStr">
        <is>
          <t>CONFIGFB_ADMIN_CREDENTIAL_CERT, CONFIGFB_CLIENT_EMAIL, CONFIGFB_DATABASE_NAME, CONFIGFB_DATABASE_URL, CONFIGFB_STORAGE_BUCKET</t>
        </is>
      </c>
    </row>
    <row r="51" ht="22" customHeight="1">
      <c r="A51" s="13" t="n">
        <v>49</v>
      </c>
      <c r="B51" s="14" t="inlineStr">
        <is>
          <t>clickMeetingToBQ</t>
        </is>
      </c>
      <c r="C51" s="13" t="inlineStr">
        <is>
          <t>onRequest</t>
        </is>
      </c>
      <c r="D51" s="13" t="inlineStr">
        <is>
          <t>HTTP Request</t>
        </is>
      </c>
      <c r="E51" s="15" t="inlineStr">
        <is>
          <t>CLICK MEETING TO BQ</t>
        </is>
      </c>
      <c r="F51" s="13" t="inlineStr">
        <is>
          <t>Migrated v2</t>
        </is>
      </c>
      <c r="G51" s="15" t="inlineStr">
        <is>
          <t>functions/assets/js/click-meeting/clickMeetingBQ.js</t>
        </is>
      </c>
      <c r="H51" s="15" t="inlineStr">
        <is>
          <t>Ninguno</t>
        </is>
      </c>
    </row>
    <row r="52" ht="22" customHeight="1">
      <c r="A52" s="10" t="n">
        <v>50</v>
      </c>
      <c r="B52" s="16" t="inlineStr">
        <is>
          <t>clickMeetingV2</t>
        </is>
      </c>
      <c r="C52" s="10" t="inlineStr">
        <is>
          <t>onRequest</t>
        </is>
      </c>
      <c r="D52" s="10" t="inlineStr">
        <is>
          <t>HTTP Request</t>
        </is>
      </c>
      <c r="E52" s="17" t="inlineStr">
        <is>
          <t>CLICK MEETING V2</t>
        </is>
      </c>
      <c r="F52" s="10" t="inlineStr">
        <is>
          <t>Migrated v2</t>
        </is>
      </c>
      <c r="G52" s="17" t="inlineStr">
        <is>
          <t>functions/assets/js/click-meeting/clickMeetingV2.js</t>
        </is>
      </c>
      <c r="H52" s="17" t="inlineStr">
        <is>
          <t>Ninguno</t>
        </is>
      </c>
    </row>
    <row r="53" ht="22" customHeight="1">
      <c r="A53" s="13" t="n">
        <v>51</v>
      </c>
      <c r="B53" s="14" t="inlineStr">
        <is>
          <t>fetchFile</t>
        </is>
      </c>
      <c r="C53" s="13" t="inlineStr">
        <is>
          <t>onRequest</t>
        </is>
      </c>
      <c r="D53" s="13" t="inlineStr">
        <is>
          <t>HTTP Request</t>
        </is>
      </c>
      <c r="E53" s="15" t="inlineStr">
        <is>
          <t>FETCH FILE</t>
        </is>
      </c>
      <c r="F53" s="13" t="inlineStr">
        <is>
          <t>Migrated v2</t>
        </is>
      </c>
      <c r="G53" s="15" t="inlineStr">
        <is>
          <t>functions/assets/js/click-meeting/fetchFile.js</t>
        </is>
      </c>
      <c r="H53" s="15" t="inlineStr">
        <is>
          <t>Ninguno</t>
        </is>
      </c>
    </row>
    <row r="54" ht="22" customHeight="1">
      <c r="A54" s="10" t="n">
        <v>52</v>
      </c>
      <c r="B54" s="16" t="inlineStr">
        <is>
          <t>deleteAuthUser</t>
        </is>
      </c>
      <c r="C54" s="10" t="inlineStr">
        <is>
          <t>onCall</t>
        </is>
      </c>
      <c r="D54" s="10" t="inlineStr">
        <is>
          <t>Callable (HTTPS)</t>
        </is>
      </c>
      <c r="E54" s="17" t="inlineStr">
        <is>
          <t>DELETE AUTH USER</t>
        </is>
      </c>
      <c r="F54" s="10" t="inlineStr">
        <is>
          <t>Migrated v2</t>
        </is>
      </c>
      <c r="G54" s="17" t="inlineStr">
        <is>
          <t>functions/assets/js/user/deleteAuthUser.js</t>
        </is>
      </c>
      <c r="H54" s="17" t="inlineStr">
        <is>
          <t>CONFIGFB_ADMIN_CREDENTIAL_CERT, CONFIGFB_CLIENT_EMAIL, CONFIGFB_DATABASE_NAME, CONFIGFB_DATABASE_URL, CONFIGFB_STORAGE_BUCKET</t>
        </is>
      </c>
    </row>
    <row r="55" ht="22" customHeight="1">
      <c r="A55" s="13" t="n">
        <v>53</v>
      </c>
      <c r="B55" s="14" t="inlineStr">
        <is>
          <t>emailVerificationAuthUser</t>
        </is>
      </c>
      <c r="C55" s="13" t="inlineStr">
        <is>
          <t>onCall</t>
        </is>
      </c>
      <c r="D55" s="13" t="inlineStr">
        <is>
          <t>Callable (HTTPS)</t>
        </is>
      </c>
      <c r="E55" s="15" t="inlineStr">
        <is>
          <t>EMAIL VERIFICATION AUTH USER</t>
        </is>
      </c>
      <c r="F55" s="13" t="inlineStr">
        <is>
          <t>Migrated v2</t>
        </is>
      </c>
      <c r="G55" s="15" t="inlineStr">
        <is>
          <t>functions/assets/js/user/emailVerificationAuthUser.js</t>
        </is>
      </c>
      <c r="H55" s="15" t="inlineStr">
        <is>
          <t>CONFIGFB_ADMIN_CREDENTIAL_CERT, CONFIGFB_CLIENT_EMAIL, CONFIGFB_DATABASE_NAME, CONFIGFB_DATABASE_URL, CONFIGFB_STORAGE_BUCKET</t>
        </is>
      </c>
    </row>
    <row r="56" ht="22" customHeight="1">
      <c r="A56" s="10" t="n">
        <v>54</v>
      </c>
      <c r="B56" s="16" t="inlineStr">
        <is>
          <t>getAuthUser</t>
        </is>
      </c>
      <c r="C56" s="10" t="inlineStr">
        <is>
          <t>onCall</t>
        </is>
      </c>
      <c r="D56" s="10" t="inlineStr">
        <is>
          <t>Callable (HTTPS)</t>
        </is>
      </c>
      <c r="E56" s="17" t="inlineStr">
        <is>
          <t>GET AUTH USER</t>
        </is>
      </c>
      <c r="F56" s="10" t="inlineStr">
        <is>
          <t>Migrated v2</t>
        </is>
      </c>
      <c r="G56" s="17" t="inlineStr">
        <is>
          <t>functions/assets/js/user/accountManagement.js</t>
        </is>
      </c>
      <c r="H56" s="17" t="inlineStr">
        <is>
          <t>CONFIGFB_ADMIN_CREDENTIAL_CERT, CONFIGFB_CLIENT_EMAIL, CONFIGFB_DATABASE_NAME, CONFIGFB_DATABASE_URL, CONFIGFB_STORAGE_BUCKET</t>
        </is>
      </c>
    </row>
    <row r="57" ht="22" customHeight="1">
      <c r="A57" s="13" t="n">
        <v>55</v>
      </c>
      <c r="B57" s="14" t="inlineStr">
        <is>
          <t>getAuthUserByEmail</t>
        </is>
      </c>
      <c r="C57" s="13" t="inlineStr">
        <is>
          <t>onCall</t>
        </is>
      </c>
      <c r="D57" s="13" t="inlineStr">
        <is>
          <t>Callable (HTTPS)</t>
        </is>
      </c>
      <c r="E57" s="15" t="inlineStr">
        <is>
          <t>GET AUTH USER BY EMAIL</t>
        </is>
      </c>
      <c r="F57" s="13" t="inlineStr">
        <is>
          <t>Migrated v2</t>
        </is>
      </c>
      <c r="G57" s="15" t="inlineStr">
        <is>
          <t>functions/assets/js/user/accountManagement.js</t>
        </is>
      </c>
      <c r="H57" s="15" t="inlineStr">
        <is>
          <t>CONFIGFB_ADMIN_CREDENTIAL_CERT, CONFIGFB_CLIENT_EMAIL, CONFIGFB_DATABASE_NAME, CONFIGFB_DATABASE_URL, CONFIGFB_STORAGE_BUCKET</t>
        </is>
      </c>
    </row>
    <row r="58" ht="22" customHeight="1">
      <c r="A58" s="10" t="n">
        <v>56</v>
      </c>
      <c r="B58" s="16" t="inlineStr">
        <is>
          <t>resetPasswordAuthUser</t>
        </is>
      </c>
      <c r="C58" s="10" t="inlineStr">
        <is>
          <t>onCall</t>
        </is>
      </c>
      <c r="D58" s="10" t="inlineStr">
        <is>
          <t>Callable (HTTPS)</t>
        </is>
      </c>
      <c r="E58" s="17" t="inlineStr">
        <is>
          <t>RESET PASSWORD AUTH USER</t>
        </is>
      </c>
      <c r="F58" s="10" t="inlineStr">
        <is>
          <t>Migrated v2</t>
        </is>
      </c>
      <c r="G58" s="17" t="inlineStr">
        <is>
          <t>functions/assets/js/user/accountManagement.js</t>
        </is>
      </c>
      <c r="H58" s="17" t="inlineStr">
        <is>
          <t>CONFIGFB_ADMIN_CREDENTIAL_CERT, CONFIGFB_CLIENT_EMAIL, CONFIGFB_DATABASE_NAME, CONFIGFB_DATABASE_URL, CONFIGFB_STORAGE_BUCKET</t>
        </is>
      </c>
    </row>
    <row r="59" ht="22" customHeight="1">
      <c r="A59" s="13" t="n">
        <v>57</v>
      </c>
      <c r="B59" s="14" t="inlineStr">
        <is>
          <t>updateAuthUser</t>
        </is>
      </c>
      <c r="C59" s="13" t="inlineStr">
        <is>
          <t>onCall</t>
        </is>
      </c>
      <c r="D59" s="13" t="inlineStr">
        <is>
          <t>Callable (HTTPS)</t>
        </is>
      </c>
      <c r="E59" s="15" t="inlineStr">
        <is>
          <t>UPDATE AUTH USER</t>
        </is>
      </c>
      <c r="F59" s="13" t="inlineStr">
        <is>
          <t>Migrated v2</t>
        </is>
      </c>
      <c r="G59" s="15" t="inlineStr">
        <is>
          <t>functions/assets/js/user/accountManagement.js</t>
        </is>
      </c>
      <c r="H59" s="15" t="inlineStr">
        <is>
          <t>CONFIGFB_ADMIN_CREDENTIAL_CERT, CONFIGFB_CLIENT_EMAIL, CONFIGFB_DATABASE_NAME, CONFIGFB_DATABASE_URL, CONFIGFB_STORAGE_BUCKET</t>
        </is>
      </c>
    </row>
    <row r="60" ht="22" customHeight="1">
      <c r="A60" s="10" t="n">
        <v>58</v>
      </c>
      <c r="B60" s="16" t="inlineStr">
        <is>
          <t>updateSeachUserObject</t>
        </is>
      </c>
      <c r="C60" s="10" t="inlineStr">
        <is>
          <t>onCall</t>
        </is>
      </c>
      <c r="D60" s="10" t="inlineStr">
        <is>
          <t>Callable (HTTPS)</t>
        </is>
      </c>
      <c r="E60" s="17" t="inlineStr">
        <is>
          <t>UPDATE SEARCH USER OBJECT</t>
        </is>
      </c>
      <c r="F60" s="10" t="inlineStr">
        <is>
          <t>Migrated v2</t>
        </is>
      </c>
      <c r="G60" s="17" t="inlineStr">
        <is>
          <t>functions/assets/js/user/updateSearchTasks.js</t>
        </is>
      </c>
      <c r="H60" s="17" t="inlineStr">
        <is>
          <t>CONFIGFB_ADMIN_CREDENTIAL_CERT, CONFIGFB_CLIENT_EMAIL, CONFIGFB_DATABASE_NAME, CONFIGFB_DATABASE_URL, CONFIGFB_STORAGE_BUCKET</t>
        </is>
      </c>
    </row>
    <row r="61" ht="22" customHeight="1">
      <c r="A61" s="13" t="n">
        <v>59</v>
      </c>
      <c r="B61" s="14" t="inlineStr">
        <is>
          <t>updatePostsSearch</t>
        </is>
      </c>
      <c r="C61" s="13" t="inlineStr">
        <is>
          <t>onCall</t>
        </is>
      </c>
      <c r="D61" s="13" t="inlineStr">
        <is>
          <t>Callable (HTTPS)</t>
        </is>
      </c>
      <c r="E61" s="15" t="inlineStr">
        <is>
          <t>UPDATE POSTS SEARCH</t>
        </is>
      </c>
      <c r="F61" s="13" t="inlineStr">
        <is>
          <t>Migrated v2</t>
        </is>
      </c>
      <c r="G61" s="15" t="inlineStr">
        <is>
          <t>functions/assets/js/content/contentHandlers.js</t>
        </is>
      </c>
      <c r="H61" s="15" t="inlineStr">
        <is>
          <t>CONFIGFB_ADMIN_CREDENTIAL_CERT, CONFIGFB_CLIENT_EMAIL, CONFIGFB_DATABASE_NAME, CONFIGFB_DATABASE_URL, CONFIGFB_STORAGE_BUCKET</t>
        </is>
      </c>
    </row>
    <row r="62" ht="22" customHeight="1">
      <c r="A62" s="10" t="n">
        <v>60</v>
      </c>
      <c r="B62" s="16" t="inlineStr">
        <is>
          <t>updateProductsSearch</t>
        </is>
      </c>
      <c r="C62" s="10" t="inlineStr">
        <is>
          <t>onCall</t>
        </is>
      </c>
      <c r="D62" s="10" t="inlineStr">
        <is>
          <t>Callable (HTTPS)</t>
        </is>
      </c>
      <c r="E62" s="17" t="inlineStr">
        <is>
          <t>UPDATE PRODUCTS SEARCH</t>
        </is>
      </c>
      <c r="F62" s="10" t="inlineStr">
        <is>
          <t>Migrated v2</t>
        </is>
      </c>
      <c r="G62" s="17" t="inlineStr">
        <is>
          <t>functions/assets/js/content/contentHandlers.js</t>
        </is>
      </c>
      <c r="H62" s="17" t="inlineStr">
        <is>
          <t>CONFIGFB_ADMIN_CREDENTIAL_CERT, CONFIGFB_CLIENT_EMAIL, CONFIGFB_DATABASE_NAME, CONFIGFB_DATABASE_URL, CONFIGFB_STORAGE_BUCKET</t>
        </is>
      </c>
    </row>
    <row r="63" ht="22" customHeight="1">
      <c r="A63" s="13" t="n">
        <v>61</v>
      </c>
      <c r="B63" s="14" t="inlineStr">
        <is>
          <t>payments</t>
        </is>
      </c>
      <c r="C63" s="13" t="inlineStr">
        <is>
          <t>onCall</t>
        </is>
      </c>
      <c r="D63" s="13" t="inlineStr">
        <is>
          <t>Callable (HTTPS)</t>
        </is>
      </c>
      <c r="E63" s="15" t="inlineStr">
        <is>
          <t>PAYMENTS</t>
        </is>
      </c>
      <c r="F63" s="13" t="inlineStr">
        <is>
          <t>Migrated v2</t>
        </is>
      </c>
      <c r="G63" s="15" t="inlineStr">
        <is>
          <t>functions/assets/js/payments/payments.js</t>
        </is>
      </c>
      <c r="H63" s="15" t="inlineStr">
        <is>
          <t>Ninguno</t>
        </is>
      </c>
    </row>
    <row r="64" ht="22" customHeight="1">
      <c r="A64" s="10" t="n">
        <v>62</v>
      </c>
      <c r="B64" s="16" t="inlineStr">
        <is>
          <t>sendNotificationCall</t>
        </is>
      </c>
      <c r="C64" s="10" t="inlineStr">
        <is>
          <t>onCall</t>
        </is>
      </c>
      <c r="D64" s="10" t="inlineStr">
        <is>
          <t>Callable (HTTPS)</t>
        </is>
      </c>
      <c r="E64" s="17" t="inlineStr">
        <is>
          <t>SEND NOTIFICATION CALL</t>
        </is>
      </c>
      <c r="F64" s="10" t="inlineStr">
        <is>
          <t>Migrated v2</t>
        </is>
      </c>
      <c r="G64" s="17" t="inlineStr">
        <is>
          <t>functions/assets/js/messaging/topicsAndNotifications.js</t>
        </is>
      </c>
      <c r="H64" s="17" t="inlineStr">
        <is>
          <t>CLOUD_MESSAGING_URL, CONFIGAPP_ICON, CONFIGAPP_URL, CONFIGFB_ADMIN_CREDENTIAL_CERT, CONFIGFB_CLIENT_EMAIL, CONFIGFB_DATABASE_NAME, CONFIGFB_DATABASE_URL, CONFIGFB_STORAGE_BUCKET</t>
        </is>
      </c>
    </row>
    <row r="65" ht="22" customHeight="1">
      <c r="A65" s="13" t="n">
        <v>63</v>
      </c>
      <c r="B65" s="14" t="inlineStr">
        <is>
          <t>subscribeToTopic</t>
        </is>
      </c>
      <c r="C65" s="13" t="inlineStr">
        <is>
          <t>onCall</t>
        </is>
      </c>
      <c r="D65" s="13" t="inlineStr">
        <is>
          <t>Callable (HTTPS)</t>
        </is>
      </c>
      <c r="E65" s="15" t="inlineStr">
        <is>
          <t>SUBSCRIBE TO TOPIC</t>
        </is>
      </c>
      <c r="F65" s="13" t="inlineStr">
        <is>
          <t>Migrated v2</t>
        </is>
      </c>
      <c r="G65" s="15" t="inlineStr">
        <is>
          <t>functions/assets/js/messaging/topicsAndNotifications.js</t>
        </is>
      </c>
      <c r="H65" s="15" t="inlineStr">
        <is>
          <t>CLOUD_MESSAGING_URL, CONFIGAPP_ICON, CONFIGAPP_URL, CONFIGFB_ADMIN_CREDENTIAL_CERT, CONFIGFB_CLIENT_EMAIL, CONFIGFB_DATABASE_NAME, CONFIGFB_DATABASE_URL, CONFIGFB_STORAGE_BUCKET</t>
        </is>
      </c>
    </row>
    <row r="66" ht="22" customHeight="1">
      <c r="A66" s="10" t="n">
        <v>64</v>
      </c>
      <c r="B66" s="16" t="inlineStr">
        <is>
          <t>unsubscribeFromTopic</t>
        </is>
      </c>
      <c r="C66" s="10" t="inlineStr">
        <is>
          <t>onCall</t>
        </is>
      </c>
      <c r="D66" s="10" t="inlineStr">
        <is>
          <t>Callable (HTTPS)</t>
        </is>
      </c>
      <c r="E66" s="17" t="inlineStr">
        <is>
          <t>UNSUBSCRIBE FROM TOPIC</t>
        </is>
      </c>
      <c r="F66" s="10" t="inlineStr">
        <is>
          <t>Migrated v2</t>
        </is>
      </c>
      <c r="G66" s="17" t="inlineStr">
        <is>
          <t>functions/assets/js/messaging/topicsAndNotifications.js</t>
        </is>
      </c>
      <c r="H66" s="17" t="inlineStr">
        <is>
          <t>CLOUD_MESSAGING_URL, CONFIGAPP_ICON, CONFIGAPP_URL, CONFIGFB_ADMIN_CREDENTIAL_CERT, CONFIGFB_CLIENT_EMAIL, CONFIGFB_DATABASE_NAME, CONFIGFB_DATABASE_URL, CONFIGFB_STORAGE_BUCKET</t>
        </is>
      </c>
    </row>
    <row r="67" ht="22" customHeight="1">
      <c r="A67" s="13" t="n">
        <v>65</v>
      </c>
      <c r="B67" s="14" t="inlineStr">
        <is>
          <t>getToken</t>
        </is>
      </c>
      <c r="C67" s="13" t="inlineStr">
        <is>
          <t>onCall</t>
        </is>
      </c>
      <c r="D67" s="13" t="inlineStr">
        <is>
          <t>Callable (HTTPS)</t>
        </is>
      </c>
      <c r="E67" s="15" t="inlineStr">
        <is>
          <t>GET TOKEN</t>
        </is>
      </c>
      <c r="F67" s="13" t="inlineStr">
        <is>
          <t>Migrated v2</t>
        </is>
      </c>
      <c r="G67" s="15" t="inlineStr">
        <is>
          <t>functions/assets/js/utils/storageAndValidation.js</t>
        </is>
      </c>
      <c r="H67" s="15" t="inlineStr">
        <is>
          <t>CONFIGFB_ADMIN_CREDENTIAL_CERT, CONFIGFB_CLIENT_EMAIL, CONFIGFB_DATABASE_NAME, CONFIGFB_DATABASE_URL, CONFIGFB_STORAGE_BUCKET</t>
        </is>
      </c>
    </row>
    <row r="68" ht="22" customHeight="1">
      <c r="A68" s="10" t="n">
        <v>66</v>
      </c>
      <c r="B68" s="16" t="inlineStr">
        <is>
          <t>getAllUsersAuthUser</t>
        </is>
      </c>
      <c r="C68" s="10" t="inlineStr">
        <is>
          <t>onRequest</t>
        </is>
      </c>
      <c r="D68" s="10" t="inlineStr">
        <is>
          <t>HTTP Request</t>
        </is>
      </c>
      <c r="E68" s="17" t="inlineStr">
        <is>
          <t>GET ALL USERS AUTH USER</t>
        </is>
      </c>
      <c r="F68" s="10" t="inlineStr">
        <is>
          <t>Migrated v2</t>
        </is>
      </c>
      <c r="G68" s="17" t="inlineStr">
        <is>
          <t>functions/assets/js/user/accountManagement.js</t>
        </is>
      </c>
      <c r="H68" s="17" t="inlineStr">
        <is>
          <t>CONFIGFB_ADMIN_CREDENTIAL_CERT, CONFIGFB_CLIENT_EMAIL, CONFIGFB_DATABASE_NAME, CONFIGFB_DATABASE_URL, CONFIGFB_STORAGE_BUCKET</t>
        </is>
      </c>
    </row>
    <row r="69" ht="22" customHeight="1">
      <c r="A69" s="13" t="n">
        <v>67</v>
      </c>
      <c r="B69" s="14" t="inlineStr">
        <is>
          <t>getSearchArray</t>
        </is>
      </c>
      <c r="C69" s="13" t="inlineStr">
        <is>
          <t>onRequest</t>
        </is>
      </c>
      <c r="D69" s="13" t="inlineStr">
        <is>
          <t>HTTP Request</t>
        </is>
      </c>
      <c r="E69" s="15" t="inlineStr">
        <is>
          <t>GET SEARCH ARRAY</t>
        </is>
      </c>
      <c r="F69" s="13" t="inlineStr">
        <is>
          <t>Migrated v2</t>
        </is>
      </c>
      <c r="G69" s="15" t="inlineStr">
        <is>
          <t>functions/assets/js/user/updateSearchTasks.js</t>
        </is>
      </c>
      <c r="H69" s="15" t="inlineStr">
        <is>
          <t>CONFIGFB_ADMIN_CREDENTIAL_CERT, CONFIGFB_CLIENT_EMAIL, CONFIGFB_DATABASE_NAME, CONFIGFB_DATABASE_URL, CONFIGFB_STORAGE_BUCKET</t>
        </is>
      </c>
    </row>
    <row r="70" ht="22" customHeight="1">
      <c r="A70" s="10" t="n">
        <v>68</v>
      </c>
      <c r="B70" s="16" t="inlineStr">
        <is>
          <t>fire_onRequest_scheduled_posts</t>
        </is>
      </c>
      <c r="C70" s="10" t="inlineStr">
        <is>
          <t>onRequest</t>
        </is>
      </c>
      <c r="D70" s="10" t="inlineStr">
        <is>
          <t>HTTP Request</t>
        </is>
      </c>
      <c r="E70" s="17" t="inlineStr">
        <is>
          <t>FIRE ONREQUEST SCHEDULED POSTS</t>
        </is>
      </c>
      <c r="F70" s="10" t="inlineStr">
        <is>
          <t>Migrated v2</t>
        </is>
      </c>
      <c r="G70" s="17" t="inlineStr">
        <is>
          <t>functions/assets/js/posts/scheduledPosts.js</t>
        </is>
      </c>
      <c r="H70" s="17" t="inlineStr">
        <is>
          <t>CONFIGFB_ADMIN_CREDENTIAL_CERT, CONFIGFB_CLIENT_EMAIL, CONFIGFB_DATABASE_NAME, CONFIGFB_DATABASE_URL, CONFIGFB_STORAGE_BUCKET</t>
        </is>
      </c>
    </row>
    <row r="71" ht="22" customHeight="1">
      <c r="A71" s="13" t="n">
        <v>69</v>
      </c>
      <c r="B71" s="14" t="inlineStr">
        <is>
          <t>sendNotification</t>
        </is>
      </c>
      <c r="C71" s="13" t="inlineStr">
        <is>
          <t>onRequest</t>
        </is>
      </c>
      <c r="D71" s="13" t="inlineStr">
        <is>
          <t>HTTP Request</t>
        </is>
      </c>
      <c r="E71" s="15" t="inlineStr">
        <is>
          <t>SEND NOTIFICATION</t>
        </is>
      </c>
      <c r="F71" s="13" t="inlineStr">
        <is>
          <t>Migrated v2</t>
        </is>
      </c>
      <c r="G71" s="15" t="inlineStr">
        <is>
          <t>functions/assets/js/messaging/topicsAndNotifications.js</t>
        </is>
      </c>
      <c r="H71" s="15" t="inlineStr">
        <is>
          <t>CLOUD_MESSAGING_URL, CONFIGAPP_ICON, CONFIGAPP_URL, CONFIGFB_ADMIN_CREDENTIAL_CERT, CONFIGFB_CLIENT_EMAIL, CONFIGFB_DATABASE_NAME, CONFIGFB_DATABASE_URL, CONFIGFB_STORAGE_BUCKET</t>
        </is>
      </c>
    </row>
    <row r="72" ht="22" customHeight="1">
      <c r="A72" s="10" t="n">
        <v>70</v>
      </c>
      <c r="B72" s="16" t="inlineStr">
        <is>
          <t>uploadFilesToFstorage</t>
        </is>
      </c>
      <c r="C72" s="10" t="inlineStr">
        <is>
          <t>onRequest</t>
        </is>
      </c>
      <c r="D72" s="10" t="inlineStr">
        <is>
          <t>HTTP Request</t>
        </is>
      </c>
      <c r="E72" s="17" t="inlineStr">
        <is>
          <t>UPLOAD FILES TO FSTORAGE</t>
        </is>
      </c>
      <c r="F72" s="10" t="inlineStr">
        <is>
          <t>Migrated v2</t>
        </is>
      </c>
      <c r="G72" s="17" t="inlineStr">
        <is>
          <t>functions/assets/js/utils/storageAndValidation.js</t>
        </is>
      </c>
      <c r="H72" s="17" t="inlineStr">
        <is>
          <t>CONFIGFB_ADMIN_CREDENTIAL_CERT, CONFIGFB_CLIENT_EMAIL, CONFIGFB_DATABASE_NAME, CONFIGFB_DATABASE_URL, CONFIGFB_STORAGE_BUCKET</t>
        </is>
      </c>
    </row>
    <row r="73" ht="22" customHeight="1">
      <c r="A73" s="13" t="n">
        <v>71</v>
      </c>
      <c r="B73" s="14" t="inlineStr">
        <is>
          <t>zoomSignature</t>
        </is>
      </c>
      <c r="C73" s="13" t="inlineStr">
        <is>
          <t>onRequest</t>
        </is>
      </c>
      <c r="D73" s="13" t="inlineStr">
        <is>
          <t>HTTP Request</t>
        </is>
      </c>
      <c r="E73" s="15" t="inlineStr">
        <is>
          <t>ZOOM SIGNATURE</t>
        </is>
      </c>
      <c r="F73" s="13" t="inlineStr">
        <is>
          <t>Migrated v2</t>
        </is>
      </c>
      <c r="G73" s="15" t="inlineStr">
        <is>
          <t>functions/assets/js/zoom/zoom.js</t>
        </is>
      </c>
      <c r="H73" s="15" t="inlineStr">
        <is>
          <t>Ninguno</t>
        </is>
      </c>
    </row>
    <row r="74" ht="22" customHeight="1">
      <c r="A74" s="10" t="n">
        <v>72</v>
      </c>
      <c r="B74" s="16" t="inlineStr">
        <is>
          <t>zoomGetMeetingInfo</t>
        </is>
      </c>
      <c r="C74" s="10" t="inlineStr">
        <is>
          <t>onRequest</t>
        </is>
      </c>
      <c r="D74" s="10" t="inlineStr">
        <is>
          <t>HTTP Request</t>
        </is>
      </c>
      <c r="E74" s="17" t="inlineStr">
        <is>
          <t>ZOOM GET MEETING INFO</t>
        </is>
      </c>
      <c r="F74" s="10" t="inlineStr">
        <is>
          <t>Migrated v2</t>
        </is>
      </c>
      <c r="G74" s="17" t="inlineStr">
        <is>
          <t>functions/assets/js/zoom/zoom.js</t>
        </is>
      </c>
      <c r="H74" s="17" t="inlineStr">
        <is>
          <t>Ninguno</t>
        </is>
      </c>
    </row>
    <row r="75" ht="22" customHeight="1">
      <c r="A75" s="13" t="n">
        <v>73</v>
      </c>
      <c r="B75" s="14" t="inlineStr">
        <is>
          <t>fire_onRun_scheduled_posts</t>
        </is>
      </c>
      <c r="C75" s="13" t="inlineStr">
        <is>
          <t>onSchedule</t>
        </is>
      </c>
      <c r="D75" s="13" t="inlineStr">
        <is>
          <t>Scheduled (Cron)</t>
        </is>
      </c>
      <c r="E75" s="15" t="inlineStr">
        <is>
          <t>FIRE ONRUN SCHEDULED POSTS</t>
        </is>
      </c>
      <c r="F75" s="13" t="inlineStr">
        <is>
          <t>Migrated v2</t>
        </is>
      </c>
      <c r="G75" s="15" t="inlineStr">
        <is>
          <t>functions/index.js</t>
        </is>
      </c>
      <c r="H75" s="15" t="inlineStr">
        <is>
          <t>Ninguno</t>
        </is>
      </c>
    </row>
    <row r="76" ht="22" customHeight="1">
      <c r="A76" s="10" t="n">
        <v>74</v>
      </c>
      <c r="B76" s="16" t="inlineStr">
        <is>
          <t>fire_onRun_delete_curses_and_congresses</t>
        </is>
      </c>
      <c r="C76" s="10" t="inlineStr">
        <is>
          <t>onSchedule</t>
        </is>
      </c>
      <c r="D76" s="10" t="inlineStr">
        <is>
          <t>Scheduled (Cron)</t>
        </is>
      </c>
      <c r="E76" s="17" t="inlineStr">
        <is>
          <t>FIRE ONRUN DELETE CURSES AND CONGRESSES</t>
        </is>
      </c>
      <c r="F76" s="10" t="inlineStr">
        <is>
          <t>Migrated v2</t>
        </is>
      </c>
      <c r="G76" s="17" t="inlineStr">
        <is>
          <t>functions/index.js</t>
        </is>
      </c>
      <c r="H76" s="17" t="inlineStr">
        <is>
          <t>Ninguno</t>
        </is>
      </c>
    </row>
    <row r="77" ht="22" customHeight="1">
      <c r="A77" s="13" t="n">
        <v>75</v>
      </c>
      <c r="B77" s="14" t="inlineStr">
        <is>
          <t>fire_onRun_usersInValidation</t>
        </is>
      </c>
      <c r="C77" s="13" t="inlineStr">
        <is>
          <t>onSchedule</t>
        </is>
      </c>
      <c r="D77" s="13" t="inlineStr">
        <is>
          <t>Scheduled (Cron)</t>
        </is>
      </c>
      <c r="E77" s="15" t="inlineStr">
        <is>
          <t>FIRE ONRUN USERS IN VALIDATION</t>
        </is>
      </c>
      <c r="F77" s="13" t="inlineStr">
        <is>
          <t>Migrated v2</t>
        </is>
      </c>
      <c r="G77" s="15" t="inlineStr">
        <is>
          <t>functions/index.js</t>
        </is>
      </c>
      <c r="H77" s="15" t="inlineStr">
        <is>
          <t>Ninguno</t>
        </is>
      </c>
    </row>
    <row r="78" ht="22" customHeight="1">
      <c r="A78" s="10" t="n">
        <v>76</v>
      </c>
      <c r="B78" s="16" t="inlineStr">
        <is>
          <t>onAddCreate</t>
        </is>
      </c>
      <c r="C78" s="10" t="inlineStr">
        <is>
          <t>onDocumentCreated</t>
        </is>
      </c>
      <c r="D78" s="10" t="inlineStr">
        <is>
          <t>Firestore Trigger (On Create)</t>
        </is>
      </c>
      <c r="E78" s="17" t="inlineStr">
        <is>
          <t>ON ADD CREATE</t>
        </is>
      </c>
      <c r="F78" s="10" t="inlineStr">
        <is>
          <t>Migrated v2</t>
        </is>
      </c>
      <c r="G78" s="17" t="inlineStr">
        <is>
          <t>functions/index.js</t>
        </is>
      </c>
      <c r="H78" s="17" t="inlineStr">
        <is>
          <t>Ninguno</t>
        </is>
      </c>
    </row>
    <row r="79" ht="22" customHeight="1">
      <c r="A79" s="13" t="n">
        <v>77</v>
      </c>
      <c r="B79" s="14" t="inlineStr">
        <is>
          <t>onClickBannerCreate</t>
        </is>
      </c>
      <c r="C79" s="13" t="inlineStr">
        <is>
          <t>onDocumentCreated</t>
        </is>
      </c>
      <c r="D79" s="13" t="inlineStr">
        <is>
          <t>Firestore Trigger (On Create)</t>
        </is>
      </c>
      <c r="E79" s="15" t="inlineStr">
        <is>
          <t>ON CLICK BANNER CREATE</t>
        </is>
      </c>
      <c r="F79" s="13" t="inlineStr">
        <is>
          <t>Migrated v2</t>
        </is>
      </c>
      <c r="G79" s="15" t="inlineStr">
        <is>
          <t>functions/index.js</t>
        </is>
      </c>
      <c r="H79" s="15" t="inlineStr">
        <is>
          <t>Ninguno</t>
        </is>
      </c>
    </row>
    <row r="80" ht="22" customHeight="1">
      <c r="A80" s="10" t="n">
        <v>78</v>
      </c>
      <c r="B80" s="16" t="inlineStr">
        <is>
          <t>onClickBannerDelete</t>
        </is>
      </c>
      <c r="C80" s="10" t="inlineStr">
        <is>
          <t>onDocumentDeleted</t>
        </is>
      </c>
      <c r="D80" s="10" t="inlineStr">
        <is>
          <t>Firestore Trigger (On Delete)</t>
        </is>
      </c>
      <c r="E80" s="17" t="inlineStr">
        <is>
          <t>ON CLICK BANNER DELETE</t>
        </is>
      </c>
      <c r="F80" s="10" t="inlineStr">
        <is>
          <t>Migrated v2</t>
        </is>
      </c>
      <c r="G80" s="17" t="inlineStr">
        <is>
          <t>functions/index.js</t>
        </is>
      </c>
      <c r="H80" s="17" t="inlineStr">
        <is>
          <t>Ninguno</t>
        </is>
      </c>
    </row>
    <row r="81" ht="22" customHeight="1">
      <c r="A81" s="13" t="n">
        <v>79</v>
      </c>
      <c r="B81" s="14" t="inlineStr">
        <is>
          <t>onCreateCertificatesBatch</t>
        </is>
      </c>
      <c r="C81" s="13" t="inlineStr">
        <is>
          <t>onDocumentCreated</t>
        </is>
      </c>
      <c r="D81" s="13" t="inlineStr">
        <is>
          <t>Firestore Trigger (On Create)</t>
        </is>
      </c>
      <c r="E81" s="15" t="inlineStr">
        <is>
          <t>ON CREATE CERTIFICATES BATCH</t>
        </is>
      </c>
      <c r="F81" s="13" t="inlineStr">
        <is>
          <t>Migrated v2</t>
        </is>
      </c>
      <c r="G81" s="15" t="inlineStr">
        <is>
          <t>functions/index.js</t>
        </is>
      </c>
      <c r="H81" s="15" t="inlineStr">
        <is>
          <t>Ninguno</t>
        </is>
      </c>
    </row>
    <row r="82" ht="22" customHeight="1">
      <c r="A82" s="10" t="n">
        <v>80</v>
      </c>
      <c r="B82" s="16" t="inlineStr">
        <is>
          <t>onUpdateCertificatesBatchItem</t>
        </is>
      </c>
      <c r="C82" s="10" t="inlineStr">
        <is>
          <t>onDocumentUpdated</t>
        </is>
      </c>
      <c r="D82" s="10" t="inlineStr">
        <is>
          <t>Firestore Trigger (On Update)</t>
        </is>
      </c>
      <c r="E82" s="17" t="inlineStr">
        <is>
          <t>ON UPDATE CERTIFICATES BATCH ITEM</t>
        </is>
      </c>
      <c r="F82" s="10" t="inlineStr">
        <is>
          <t>Migrated v2</t>
        </is>
      </c>
      <c r="G82" s="17" t="inlineStr">
        <is>
          <t>functions/index.js</t>
        </is>
      </c>
      <c r="H82" s="17" t="inlineStr">
        <is>
          <t>Ninguno</t>
        </is>
      </c>
    </row>
    <row r="83" ht="22" customHeight="1">
      <c r="A83" s="13" t="n">
        <v>81</v>
      </c>
      <c r="B83" s="14" t="inlineStr">
        <is>
          <t>onGroupsCreate</t>
        </is>
      </c>
      <c r="C83" s="13" t="inlineStr">
        <is>
          <t>onDocumentCreated</t>
        </is>
      </c>
      <c r="D83" s="13" t="inlineStr">
        <is>
          <t>Firestore Trigger (On Create)</t>
        </is>
      </c>
      <c r="E83" s="15" t="inlineStr">
        <is>
          <t>ON GROUPS CREATE</t>
        </is>
      </c>
      <c r="F83" s="13" t="inlineStr">
        <is>
          <t>Migrated v2</t>
        </is>
      </c>
      <c r="G83" s="15" t="inlineStr">
        <is>
          <t>functions/index.js</t>
        </is>
      </c>
      <c r="H83" s="15" t="inlineStr">
        <is>
          <t>Ninguno</t>
        </is>
      </c>
    </row>
    <row r="84" ht="22" customHeight="1">
      <c r="A84" s="10" t="n">
        <v>82</v>
      </c>
      <c r="B84" s="16" t="inlineStr">
        <is>
          <t>onUsersCreate</t>
        </is>
      </c>
      <c r="C84" s="10" t="inlineStr">
        <is>
          <t>onDocumentCreated</t>
        </is>
      </c>
      <c r="D84" s="10" t="inlineStr">
        <is>
          <t>Firestore Trigger (On Create)</t>
        </is>
      </c>
      <c r="E84" s="17" t="inlineStr">
        <is>
          <t>ON USERS CREATE</t>
        </is>
      </c>
      <c r="F84" s="10" t="inlineStr">
        <is>
          <t>Migrated v2</t>
        </is>
      </c>
      <c r="G84" s="17" t="inlineStr">
        <is>
          <t>functions/index.js</t>
        </is>
      </c>
      <c r="H84" s="17" t="inlineStr">
        <is>
          <t>Ninguno</t>
        </is>
      </c>
    </row>
    <row r="85" ht="22" customHeight="1">
      <c r="A85" s="13" t="n">
        <v>83</v>
      </c>
      <c r="B85" s="14" t="inlineStr">
        <is>
          <t>onUsersUpdate</t>
        </is>
      </c>
      <c r="C85" s="13" t="inlineStr">
        <is>
          <t>onDocumentUpdated</t>
        </is>
      </c>
      <c r="D85" s="13" t="inlineStr">
        <is>
          <t>Firestore Trigger (On Update)</t>
        </is>
      </c>
      <c r="E85" s="15" t="inlineStr">
        <is>
          <t>ON USERS UPDATE</t>
        </is>
      </c>
      <c r="F85" s="13" t="inlineStr">
        <is>
          <t>Migrated v2</t>
        </is>
      </c>
      <c r="G85" s="15" t="inlineStr">
        <is>
          <t>functions/index.js</t>
        </is>
      </c>
      <c r="H85" s="15" t="inlineStr">
        <is>
          <t>Ninguno</t>
        </is>
      </c>
    </row>
    <row r="86" ht="22" customHeight="1">
      <c r="A86" s="10" t="n">
        <v>84</v>
      </c>
      <c r="B86" s="16" t="inlineStr">
        <is>
          <t>onUsersDelete</t>
        </is>
      </c>
      <c r="C86" s="10" t="inlineStr">
        <is>
          <t>onDocumentDeleted</t>
        </is>
      </c>
      <c r="D86" s="10" t="inlineStr">
        <is>
          <t>Firestore Trigger (On Delete)</t>
        </is>
      </c>
      <c r="E86" s="17" t="inlineStr">
        <is>
          <t>ON USERS DELETE</t>
        </is>
      </c>
      <c r="F86" s="10" t="inlineStr">
        <is>
          <t>Migrated v2</t>
        </is>
      </c>
      <c r="G86" s="17" t="inlineStr">
        <is>
          <t>functions/index.js</t>
        </is>
      </c>
      <c r="H86" s="17" t="inlineStr">
        <is>
          <t>Ninguno</t>
        </is>
      </c>
    </row>
    <row r="87" ht="22" customHeight="1">
      <c r="A87" s="13" t="n">
        <v>85</v>
      </c>
      <c r="B87" s="14" t="inlineStr">
        <is>
          <t>onUserUpdate</t>
        </is>
      </c>
      <c r="C87" s="13" t="inlineStr">
        <is>
          <t>onDocumentUpdated</t>
        </is>
      </c>
      <c r="D87" s="13" t="inlineStr">
        <is>
          <t>Firestore Trigger (On Update)</t>
        </is>
      </c>
      <c r="E87" s="15" t="inlineStr">
        <is>
          <t>ON USER UPDATE</t>
        </is>
      </c>
      <c r="F87" s="13" t="inlineStr">
        <is>
          <t>Migrated v2</t>
        </is>
      </c>
      <c r="G87" s="15" t="inlineStr">
        <is>
          <t>functions/index.js</t>
        </is>
      </c>
      <c r="H87" s="15" t="inlineStr">
        <is>
          <t>Ninguno</t>
        </is>
      </c>
    </row>
    <row r="88" ht="22" customHeight="1">
      <c r="A88" s="10" t="n">
        <v>86</v>
      </c>
      <c r="B88" s="16" t="inlineStr">
        <is>
          <t>onUsersTasks</t>
        </is>
      </c>
      <c r="C88" s="10" t="inlineStr">
        <is>
          <t>onDocumentUpdated</t>
        </is>
      </c>
      <c r="D88" s="10" t="inlineStr">
        <is>
          <t>Firestore Trigger (On Update)</t>
        </is>
      </c>
      <c r="E88" s="17" t="inlineStr">
        <is>
          <t>ON USERS TASKS</t>
        </is>
      </c>
      <c r="F88" s="10" t="inlineStr">
        <is>
          <t>Migrated v2</t>
        </is>
      </c>
      <c r="G88" s="17" t="inlineStr">
        <is>
          <t>functions/index.js</t>
        </is>
      </c>
      <c r="H88" s="17" t="inlineStr">
        <is>
          <t>Ninguno</t>
        </is>
      </c>
    </row>
    <row r="89" ht="22" customHeight="1">
      <c r="A89" s="13" t="n">
        <v>87</v>
      </c>
      <c r="B89" s="14" t="inlineStr">
        <is>
          <t>onPostsTasks</t>
        </is>
      </c>
      <c r="C89" s="13" t="inlineStr">
        <is>
          <t>onDocumentUpdated</t>
        </is>
      </c>
      <c r="D89" s="13" t="inlineStr">
        <is>
          <t>Firestore Trigger (On Update)</t>
        </is>
      </c>
      <c r="E89" s="15" t="inlineStr">
        <is>
          <t>ON POSTS TASKS</t>
        </is>
      </c>
      <c r="F89" s="13" t="inlineStr">
        <is>
          <t>Migrated v2</t>
        </is>
      </c>
      <c r="G89" s="15" t="inlineStr">
        <is>
          <t>functions/index.js</t>
        </is>
      </c>
      <c r="H89" s="15" t="inlineStr">
        <is>
          <t>Ninguno</t>
        </is>
      </c>
    </row>
    <row r="90" ht="22" customHeight="1">
      <c r="A90" s="10" t="n">
        <v>88</v>
      </c>
      <c r="B90" s="16" t="inlineStr">
        <is>
          <t>onProductsTasks</t>
        </is>
      </c>
      <c r="C90" s="10" t="inlineStr">
        <is>
          <t>onDocumentUpdated</t>
        </is>
      </c>
      <c r="D90" s="10" t="inlineStr">
        <is>
          <t>Firestore Trigger (On Update)</t>
        </is>
      </c>
      <c r="E90" s="17" t="inlineStr">
        <is>
          <t>ON PRODUCTS TASKS</t>
        </is>
      </c>
      <c r="F90" s="10" t="inlineStr">
        <is>
          <t>Migrated v2</t>
        </is>
      </c>
      <c r="G90" s="17" t="inlineStr">
        <is>
          <t>functions/index.js</t>
        </is>
      </c>
      <c r="H90" s="17" t="inlineStr">
        <is>
          <t>Ninguno</t>
        </is>
      </c>
    </row>
    <row r="91" ht="22" customHeight="1">
      <c r="A91" s="13" t="n">
        <v>89</v>
      </c>
      <c r="B91" s="14" t="inlineStr">
        <is>
          <t>onWriteBanners</t>
        </is>
      </c>
      <c r="C91" s="13" t="inlineStr">
        <is>
          <t>onDocumentWritten</t>
        </is>
      </c>
      <c r="D91" s="13" t="inlineStr">
        <is>
          <t>Firestore Trigger (On Write)</t>
        </is>
      </c>
      <c r="E91" s="15" t="inlineStr">
        <is>
          <t>ON WRITE BANNERS</t>
        </is>
      </c>
      <c r="F91" s="13" t="inlineStr">
        <is>
          <t>Migrated v2</t>
        </is>
      </c>
      <c r="G91" s="15" t="inlineStr">
        <is>
          <t>functions/index.js</t>
        </is>
      </c>
      <c r="H91" s="15" t="inlineStr">
        <is>
          <t>Ninguno</t>
        </is>
      </c>
    </row>
    <row r="92" ht="22" customHeight="1">
      <c r="A92" s="10" t="n">
        <v>90</v>
      </c>
      <c r="B92" s="16" t="inlineStr">
        <is>
          <t>onWriteCategories</t>
        </is>
      </c>
      <c r="C92" s="10" t="inlineStr">
        <is>
          <t>onDocumentWritten</t>
        </is>
      </c>
      <c r="D92" s="10" t="inlineStr">
        <is>
          <t>Firestore Trigger (On Write)</t>
        </is>
      </c>
      <c r="E92" s="17" t="inlineStr">
        <is>
          <t>ON WRITE CATEGORIES</t>
        </is>
      </c>
      <c r="F92" s="10" t="inlineStr">
        <is>
          <t>Migrated v2</t>
        </is>
      </c>
      <c r="G92" s="17" t="inlineStr">
        <is>
          <t>functions/index.js</t>
        </is>
      </c>
      <c r="H92" s="17" t="inlineStr">
        <is>
          <t>Ninguno</t>
        </is>
      </c>
    </row>
    <row r="93" ht="22" customHeight="1">
      <c r="A93" s="13" t="n">
        <v>91</v>
      </c>
      <c r="B93" s="14" t="inlineStr">
        <is>
          <t>onWriteCategoriesVideos</t>
        </is>
      </c>
      <c r="C93" s="13" t="inlineStr">
        <is>
          <t>onDocumentWritten</t>
        </is>
      </c>
      <c r="D93" s="13" t="inlineStr">
        <is>
          <t>Firestore Trigger (On Write)</t>
        </is>
      </c>
      <c r="E93" s="15" t="inlineStr">
        <is>
          <t>ON WRITE CATEGORIES VIDEOS</t>
        </is>
      </c>
      <c r="F93" s="13" t="inlineStr">
        <is>
          <t>Migrated v2</t>
        </is>
      </c>
      <c r="G93" s="15" t="inlineStr">
        <is>
          <t>functions/index.js</t>
        </is>
      </c>
      <c r="H93" s="15" t="inlineStr">
        <is>
          <t>Ninguno</t>
        </is>
      </c>
    </row>
    <row r="94" ht="22" customHeight="1">
      <c r="A94" s="10" t="n">
        <v>92</v>
      </c>
      <c r="B94" s="16" t="inlineStr">
        <is>
          <t>onWriteForo</t>
        </is>
      </c>
      <c r="C94" s="10" t="inlineStr">
        <is>
          <t>onDocumentWritten</t>
        </is>
      </c>
      <c r="D94" s="10" t="inlineStr">
        <is>
          <t>Firestore Trigger (On Write)</t>
        </is>
      </c>
      <c r="E94" s="17" t="inlineStr">
        <is>
          <t>ON WRITE FORO</t>
        </is>
      </c>
      <c r="F94" s="10" t="inlineStr">
        <is>
          <t>Migrated v2</t>
        </is>
      </c>
      <c r="G94" s="17" t="inlineStr">
        <is>
          <t>functions/index.js</t>
        </is>
      </c>
      <c r="H94" s="17" t="inlineStr">
        <is>
          <t>Ninguno</t>
        </is>
      </c>
    </row>
    <row r="95" ht="22" customHeight="1">
      <c r="A95" s="13" t="n">
        <v>93</v>
      </c>
      <c r="B95" s="14" t="inlineStr">
        <is>
          <t>onWriteProducts</t>
        </is>
      </c>
      <c r="C95" s="13" t="inlineStr">
        <is>
          <t>onDocumentWritten</t>
        </is>
      </c>
      <c r="D95" s="13" t="inlineStr">
        <is>
          <t>Firestore Trigger (On Write)</t>
        </is>
      </c>
      <c r="E95" s="15" t="inlineStr">
        <is>
          <t>ON WRITE PRODUCTS</t>
        </is>
      </c>
      <c r="F95" s="13" t="inlineStr">
        <is>
          <t>Migrated v2</t>
        </is>
      </c>
      <c r="G95" s="15" t="inlineStr">
        <is>
          <t>functions/index.js</t>
        </is>
      </c>
      <c r="H95" s="15" t="inlineStr">
        <is>
          <t>Ninguno</t>
        </is>
      </c>
    </row>
    <row r="96" ht="22" customHeight="1">
      <c r="A96" s="10" t="n">
        <v>94</v>
      </c>
      <c r="B96" s="16" t="inlineStr">
        <is>
          <t>onWriteSpecialties</t>
        </is>
      </c>
      <c r="C96" s="10" t="inlineStr">
        <is>
          <t>onDocumentWritten</t>
        </is>
      </c>
      <c r="D96" s="10" t="inlineStr">
        <is>
          <t>Firestore Trigger (On Write)</t>
        </is>
      </c>
      <c r="E96" s="17" t="inlineStr">
        <is>
          <t>ON WRITE SPECIALTIES</t>
        </is>
      </c>
      <c r="F96" s="10" t="inlineStr">
        <is>
          <t>Migrated v2</t>
        </is>
      </c>
      <c r="G96" s="17" t="inlineStr">
        <is>
          <t>functions/index.js</t>
        </is>
      </c>
      <c r="H96" s="17" t="inlineStr">
        <is>
          <t>Ninguno</t>
        </is>
      </c>
    </row>
    <row r="97" ht="22" customHeight="1">
      <c r="A97" s="13" t="n">
        <v>95</v>
      </c>
      <c r="B97" s="14" t="inlineStr">
        <is>
          <t>onWriteTags</t>
        </is>
      </c>
      <c r="C97" s="13" t="inlineStr">
        <is>
          <t>onDocumentWritten</t>
        </is>
      </c>
      <c r="D97" s="13" t="inlineStr">
        <is>
          <t>Firestore Trigger (On Write)</t>
        </is>
      </c>
      <c r="E97" s="15" t="inlineStr">
        <is>
          <t>ON WRITE TAGS</t>
        </is>
      </c>
      <c r="F97" s="13" t="inlineStr">
        <is>
          <t>Migrated v2</t>
        </is>
      </c>
      <c r="G97" s="15" t="inlineStr">
        <is>
          <t>functions/index.js</t>
        </is>
      </c>
      <c r="H97" s="15" t="inlineStr">
        <is>
          <t>Ninguno</t>
        </is>
      </c>
    </row>
    <row r="98" ht="22" customHeight="1">
      <c r="A98" s="10" t="n">
        <v>96</v>
      </c>
      <c r="B98" s="16" t="inlineStr">
        <is>
          <t>bq_onRequest_getResponseWebhook</t>
        </is>
      </c>
      <c r="C98" s="10" t="inlineStr">
        <is>
          <t>onRequest</t>
        </is>
      </c>
      <c r="D98" s="10" t="inlineStr">
        <is>
          <t>HTTP Request</t>
        </is>
      </c>
      <c r="E98" s="17" t="inlineStr">
        <is>
          <t>BQ GET RESPONSE WEBHOOK</t>
        </is>
      </c>
      <c r="F98" s="10" t="inlineStr">
        <is>
          <t>Migrated v2</t>
        </is>
      </c>
      <c r="G98" s="17" t="inlineStr">
        <is>
          <t>functions/assets/js/bigquery/queries.js</t>
        </is>
      </c>
      <c r="H98" s="17" t="inlineStr">
        <is>
          <t>CONFIGFB_ADMIN_CREDENTIAL_CERT, CONFIGFB_CLIENT_EMAIL, CONFIGFB_DATABASE_NAME, CONFIGFB_DATABASE_URL, CONFIGFB_STORAGE_BUCKET</t>
        </is>
      </c>
    </row>
    <row r="99" ht="22" customHeight="1">
      <c r="A99" s="13" t="n">
        <v>97</v>
      </c>
      <c r="B99" s="14" t="inlineStr">
        <is>
          <t>bq_onRequest_newsletters</t>
        </is>
      </c>
      <c r="C99" s="13" t="inlineStr">
        <is>
          <t>onRequest</t>
        </is>
      </c>
      <c r="D99" s="13" t="inlineStr">
        <is>
          <t>HTTP Request</t>
        </is>
      </c>
      <c r="E99" s="15" t="inlineStr">
        <is>
          <t>BQ NEWSLETTERS</t>
        </is>
      </c>
      <c r="F99" s="13" t="inlineStr">
        <is>
          <t>Migrated v2</t>
        </is>
      </c>
      <c r="G99" s="15" t="inlineStr">
        <is>
          <t>functions/assets/js/bigquery/queries.js</t>
        </is>
      </c>
      <c r="H99" s="15" t="inlineStr">
        <is>
          <t>CONFIGFB_ADMIN_CREDENTIAL_CERT, CONFIGFB_CLIENT_EMAIL, CONFIGFB_DATABASE_NAME, CONFIGFB_DATABASE_URL, CONFIGFB_STORAGE_BUCKET</t>
        </is>
      </c>
    </row>
    <row r="100" ht="22" customHeight="1">
      <c r="A100" s="10" t="n">
        <v>98</v>
      </c>
      <c r="B100" s="16" t="inlineStr">
        <is>
          <t>bq_onRequest_newsletters_update</t>
        </is>
      </c>
      <c r="C100" s="10" t="inlineStr">
        <is>
          <t>onRequest</t>
        </is>
      </c>
      <c r="D100" s="10" t="inlineStr">
        <is>
          <t>HTTP Request</t>
        </is>
      </c>
      <c r="E100" s="17" t="inlineStr">
        <is>
          <t>BQ NEWSLETTERS UPDATE</t>
        </is>
      </c>
      <c r="F100" s="10" t="inlineStr">
        <is>
          <t>Migrated v2</t>
        </is>
      </c>
      <c r="G100" s="17" t="inlineStr">
        <is>
          <t>functions/assets/js/bigquery/queries.js</t>
        </is>
      </c>
      <c r="H100" s="17" t="inlineStr">
        <is>
          <t>CONFIGFB_ADMIN_CREDENTIAL_CERT, CONFIGFB_CLIENT_EMAIL, CONFIGFB_DATABASE_NAME, CONFIGFB_DATABASE_URL, CONFIGFB_STORAGE_BUCKET</t>
        </is>
      </c>
    </row>
    <row r="101" ht="22" customHeight="1">
      <c r="A101" s="13" t="n">
        <v>99</v>
      </c>
      <c r="B101" s="14" t="inlineStr">
        <is>
          <t>bq_onRun_campaigns</t>
        </is>
      </c>
      <c r="C101" s="13" t="inlineStr">
        <is>
          <t>onSchedule</t>
        </is>
      </c>
      <c r="D101" s="13" t="inlineStr">
        <is>
          <t>Scheduled (Cron)</t>
        </is>
      </c>
      <c r="E101" s="15" t="inlineStr">
        <is>
          <t>BQ ON RUN CAMPAIGNS</t>
        </is>
      </c>
      <c r="F101" s="13" t="inlineStr">
        <is>
          <t>Migrated v2</t>
        </is>
      </c>
      <c r="G101" s="15" t="inlineStr">
        <is>
          <t>functions/index.js</t>
        </is>
      </c>
      <c r="H101" s="15" t="inlineStr">
        <is>
          <t>Ninguno</t>
        </is>
      </c>
    </row>
    <row r="102" ht="22" customHeight="1">
      <c r="A102" s="10" t="n">
        <v>100</v>
      </c>
      <c r="B102" s="16" t="inlineStr">
        <is>
          <t>bq_onRun_contacts</t>
        </is>
      </c>
      <c r="C102" s="10" t="inlineStr">
        <is>
          <t>onSchedule</t>
        </is>
      </c>
      <c r="D102" s="10" t="inlineStr">
        <is>
          <t>Scheduled (Cron)</t>
        </is>
      </c>
      <c r="E102" s="17" t="inlineStr">
        <is>
          <t>BQ ON RUN CONTACTS</t>
        </is>
      </c>
      <c r="F102" s="10" t="inlineStr">
        <is>
          <t>Migrated v2</t>
        </is>
      </c>
      <c r="G102" s="17" t="inlineStr">
        <is>
          <t>functions/index.js</t>
        </is>
      </c>
      <c r="H102" s="17" t="inlineStr">
        <is>
          <t>Ninguno</t>
        </is>
      </c>
    </row>
    <row r="103" ht="22" customHeight="1">
      <c r="A103" s="13" t="n">
        <v>101</v>
      </c>
      <c r="B103" s="14" t="inlineStr">
        <is>
          <t>bq_onRun_newsletters</t>
        </is>
      </c>
      <c r="C103" s="13" t="inlineStr">
        <is>
          <t>onSchedule</t>
        </is>
      </c>
      <c r="D103" s="13" t="inlineStr">
        <is>
          <t>Scheduled (Cron)</t>
        </is>
      </c>
      <c r="E103" s="15" t="inlineStr">
        <is>
          <t>BQ ON RUN NEWSLETTERS</t>
        </is>
      </c>
      <c r="F103" s="13" t="inlineStr">
        <is>
          <t>Migrated v2</t>
        </is>
      </c>
      <c r="G103" s="15" t="inlineStr">
        <is>
          <t>functions/index.js</t>
        </is>
      </c>
      <c r="H103" s="15" t="inlineStr">
        <is>
          <t>Ninguno</t>
        </is>
      </c>
    </row>
    <row r="104" ht="22" customHeight="1">
      <c r="A104" s="10" t="n">
        <v>102</v>
      </c>
      <c r="B104" s="16" t="inlineStr">
        <is>
          <t>bq_onRun_newsletters_update</t>
        </is>
      </c>
      <c r="C104" s="10" t="inlineStr">
        <is>
          <t>onSchedule</t>
        </is>
      </c>
      <c r="D104" s="10" t="inlineStr">
        <is>
          <t>Scheduled (Cron)</t>
        </is>
      </c>
      <c r="E104" s="17" t="inlineStr">
        <is>
          <t>BQ ON RUN NEWSLETTERS UPDATE</t>
        </is>
      </c>
      <c r="F104" s="10" t="inlineStr">
        <is>
          <t>Migrated v2</t>
        </is>
      </c>
      <c r="G104" s="17" t="inlineStr">
        <is>
          <t>functions/index.js</t>
        </is>
      </c>
      <c r="H104" s="17" t="inlineStr">
        <is>
          <t>Ninguno</t>
        </is>
      </c>
    </row>
    <row r="105" ht="22" customHeight="1">
      <c r="A105" s="13" t="n">
        <v>103</v>
      </c>
      <c r="B105" s="14" t="inlineStr">
        <is>
          <t>admin_messaging</t>
        </is>
      </c>
      <c r="C105" s="13" t="inlineStr">
        <is>
          <t>onRequest</t>
        </is>
      </c>
      <c r="D105" s="13" t="inlineStr">
        <is>
          <t>HTTP Request</t>
        </is>
      </c>
      <c r="E105" s="15" t="inlineStr">
        <is>
          <t>ADMIN MESSAGING HTTP</t>
        </is>
      </c>
      <c r="F105" s="13" t="inlineStr">
        <is>
          <t>Migrated v2</t>
        </is>
      </c>
      <c r="G105" s="15" t="inlineStr">
        <is>
          <t>functions/assets/js/messaging/pushNotifications.js</t>
        </is>
      </c>
      <c r="H105" s="15" t="inlineStr">
        <is>
          <t>CONFIGFB_ADMIN_CREDENTIAL_CERT, CONFIGFB_CLIENT_EMAIL, CONFIGFB_DATABASE_NAME, CONFIGFB_DATABASE_URL, CONFIGFB_STORAGE_BUCKET</t>
        </is>
      </c>
    </row>
    <row r="106" ht="22" customHeight="1">
      <c r="A106" s="10" t="n">
        <v>104</v>
      </c>
      <c r="B106" s="16" t="inlineStr">
        <is>
          <t>admin_messaging_movil</t>
        </is>
      </c>
      <c r="C106" s="10" t="inlineStr">
        <is>
          <t>onRequest</t>
        </is>
      </c>
      <c r="D106" s="10" t="inlineStr">
        <is>
          <t>HTTP Request</t>
        </is>
      </c>
      <c r="E106" s="17" t="inlineStr">
        <is>
          <t>ADMIN MESSAGING MOVIL HTTP</t>
        </is>
      </c>
      <c r="F106" s="10" t="inlineStr">
        <is>
          <t>Migrated v2</t>
        </is>
      </c>
      <c r="G106" s="17" t="inlineStr">
        <is>
          <t>functions/assets/js/messaging/pushNotifications.js</t>
        </is>
      </c>
      <c r="H106" s="17" t="inlineStr">
        <is>
          <t>CONFIGFB_ADMIN_CREDENTIAL_CERT, CONFIGFB_CLIENT_EMAIL, CONFIGFB_DATABASE_NAME, CONFIGFB_DATABASE_URL, CONFIGFB_STORAGE_BUCKET</t>
        </is>
      </c>
    </row>
    <row r="107" ht="22" customHeight="1">
      <c r="A107" s="13" t="n">
        <v>105</v>
      </c>
      <c r="B107" s="14" t="inlineStr">
        <is>
          <t>bq_onRequest_activities</t>
        </is>
      </c>
      <c r="C107" s="13" t="inlineStr">
        <is>
          <t>onRequest</t>
        </is>
      </c>
      <c r="D107" s="13" t="inlineStr">
        <is>
          <t>HTTP Request</t>
        </is>
      </c>
      <c r="E107" s="15" t="inlineStr">
        <is>
          <t>BQ ACTIVITIES HTTP</t>
        </is>
      </c>
      <c r="F107" s="13" t="inlineStr">
        <is>
          <t>Migrated v2</t>
        </is>
      </c>
      <c r="G107" s="15" t="inlineStr">
        <is>
          <t>functions/assets/js/bigquery/queries.js</t>
        </is>
      </c>
      <c r="H107" s="15" t="inlineStr">
        <is>
          <t>CONFIGFB_ADMIN_CREDENTIAL_CERT, CONFIGFB_CLIENT_EMAIL, CONFIGFB_DATABASE_NAME, CONFIGFB_DATABASE_URL, CONFIGFB_STORAGE_BUCKET</t>
        </is>
      </c>
    </row>
    <row r="108" ht="22" customHeight="1">
      <c r="A108" s="10" t="n">
        <v>106</v>
      </c>
      <c r="B108" s="16" t="inlineStr">
        <is>
          <t>bq_onRequest_campaigns</t>
        </is>
      </c>
      <c r="C108" s="10" t="inlineStr">
        <is>
          <t>onRequest</t>
        </is>
      </c>
      <c r="D108" s="10" t="inlineStr">
        <is>
          <t>HTTP Request</t>
        </is>
      </c>
      <c r="E108" s="17" t="inlineStr">
        <is>
          <t>BQ CAMPAIGNS HTTP</t>
        </is>
      </c>
      <c r="F108" s="10" t="inlineStr">
        <is>
          <t>Migrated v2</t>
        </is>
      </c>
      <c r="G108" s="17" t="inlineStr">
        <is>
          <t>functions/assets/js/bigquery/queries.js</t>
        </is>
      </c>
      <c r="H108" s="17" t="inlineStr">
        <is>
          <t>CONFIGFB_ADMIN_CREDENTIAL_CERT, CONFIGFB_CLIENT_EMAIL, CONFIGFB_DATABASE_NAME, CONFIGFB_DATABASE_URL, CONFIGFB_STORAGE_BUCKET</t>
        </is>
      </c>
    </row>
    <row r="109" ht="22" customHeight="1">
      <c r="A109" s="13" t="n">
        <v>107</v>
      </c>
      <c r="B109" s="14" t="inlineStr">
        <is>
          <t>bq_onRequest_contacts</t>
        </is>
      </c>
      <c r="C109" s="13" t="inlineStr">
        <is>
          <t>onRequest</t>
        </is>
      </c>
      <c r="D109" s="13" t="inlineStr">
        <is>
          <t>HTTP Request</t>
        </is>
      </c>
      <c r="E109" s="15" t="inlineStr">
        <is>
          <t>BQ CONTACTS HTTP</t>
        </is>
      </c>
      <c r="F109" s="13" t="inlineStr">
        <is>
          <t>Migrated v2</t>
        </is>
      </c>
      <c r="G109" s="15" t="inlineStr">
        <is>
          <t>functions/assets/js/bigquery/queries.js</t>
        </is>
      </c>
      <c r="H109" s="15" t="inlineStr">
        <is>
          <t>CONFIGFB_ADMIN_CREDENTIAL_CERT, CONFIGFB_CLIENT_EMAIL, CONFIGFB_DATABASE_NAME, CONFIGFB_DATABASE_URL, CONFIGFB_STORAGE_BUCKET</t>
        </is>
      </c>
    </row>
    <row r="110" ht="22" customHeight="1">
      <c r="A110" s="10" t="n">
        <v>108</v>
      </c>
      <c r="B110" s="16" t="inlineStr">
        <is>
          <t>bq_onRequest_createTable</t>
        </is>
      </c>
      <c r="C110" s="10" t="inlineStr">
        <is>
          <t>onRequest</t>
        </is>
      </c>
      <c r="D110" s="10" t="inlineStr">
        <is>
          <t>HTTP Request</t>
        </is>
      </c>
      <c r="E110" s="17" t="inlineStr">
        <is>
          <t>BQ CREATE TABLE HTTP</t>
        </is>
      </c>
      <c r="F110" s="10" t="inlineStr">
        <is>
          <t>Migrated v2</t>
        </is>
      </c>
      <c r="G110" s="17" t="inlineStr">
        <is>
          <t>functions/assets/js/bigquery/queries.js</t>
        </is>
      </c>
      <c r="H110" s="17" t="inlineStr">
        <is>
          <t>CONFIGFB_ADMIN_CREDENTIAL_CERT, CONFIGFB_CLIENT_EMAIL, CONFIGFB_DATABASE_NAME, CONFIGFB_DATABASE_URL, CONFIGFB_STORAGE_BUCKET</t>
        </is>
      </c>
    </row>
    <row r="111" ht="22" customHeight="1">
      <c r="A111" s="13" t="n">
        <v>109</v>
      </c>
      <c r="B111" s="14" t="inlineStr">
        <is>
          <t>aUserUpdate</t>
        </is>
      </c>
      <c r="C111" s="13" t="inlineStr">
        <is>
          <t>onDocumentUpdated</t>
        </is>
      </c>
      <c r="D111" s="13" t="inlineStr">
        <is>
          <t>Firestore Trigger (On Update)</t>
        </is>
      </c>
      <c r="E111" s="15" t="inlineStr">
        <is>
          <t>A USER UPDATE BIGQUERY</t>
        </is>
      </c>
      <c r="F111" s="13" t="inlineStr">
        <is>
          <t>Migrated v2</t>
        </is>
      </c>
      <c r="G111" s="15" t="inlineStr">
        <is>
          <t>functions/index.js</t>
        </is>
      </c>
      <c r="H111" s="15" t="inlineStr">
        <is>
          <t>Ninguno</t>
        </is>
      </c>
    </row>
    <row r="112" ht="22" customHeight="1">
      <c r="A112" s="10" t="n">
        <v>110</v>
      </c>
      <c r="B112" s="16" t="inlineStr">
        <is>
          <t>aUserDelete</t>
        </is>
      </c>
      <c r="C112" s="10" t="inlineStr">
        <is>
          <t>onDocumentDeleted</t>
        </is>
      </c>
      <c r="D112" s="10" t="inlineStr">
        <is>
          <t>Firestore Trigger (On Delete)</t>
        </is>
      </c>
      <c r="E112" s="17" t="inlineStr">
        <is>
          <t>A USER DELETE BIGQUERY</t>
        </is>
      </c>
      <c r="F112" s="10" t="inlineStr">
        <is>
          <t>Migrated v2</t>
        </is>
      </c>
      <c r="G112" s="17" t="inlineStr">
        <is>
          <t>functions/index.js</t>
        </is>
      </c>
      <c r="H112" s="17" t="inlineStr">
        <is>
          <t>Ninguno</t>
        </is>
      </c>
    </row>
    <row r="113" ht="22" customHeight="1">
      <c r="A113" s="13" t="n">
        <v>111</v>
      </c>
      <c r="B113" s="14" t="inlineStr">
        <is>
          <t>admin_messaging_paginate</t>
        </is>
      </c>
      <c r="C113" s="13" t="inlineStr">
        <is>
          <t>onDocumentUpdated</t>
        </is>
      </c>
      <c r="D113" s="13" t="inlineStr">
        <is>
          <t>Firestore Trigger (On Update)</t>
        </is>
      </c>
      <c r="E113" s="15" t="inlineStr">
        <is>
          <t>ADMIN MESSAGING PAGINATE</t>
        </is>
      </c>
      <c r="F113" s="13" t="inlineStr">
        <is>
          <t>Migrated v2</t>
        </is>
      </c>
      <c r="G113" s="15" t="inlineStr">
        <is>
          <t>functions/index.js</t>
        </is>
      </c>
      <c r="H113" s="15" t="inlineStr">
        <is>
          <t>Ninguno</t>
        </is>
      </c>
    </row>
    <row r="114" ht="22" customHeight="1">
      <c r="A114" s="10" t="n">
        <v>112</v>
      </c>
      <c r="B114" s="16" t="inlineStr">
        <is>
          <t>bq_onCreate_pagination</t>
        </is>
      </c>
      <c r="C114" s="10" t="inlineStr">
        <is>
          <t>onDocumentCreated</t>
        </is>
      </c>
      <c r="D114" s="10" t="inlineStr">
        <is>
          <t>Firestore Trigger (On Create)</t>
        </is>
      </c>
      <c r="E114" s="17" t="inlineStr">
        <is>
          <t>BQ ON CREATE PAGINATION</t>
        </is>
      </c>
      <c r="F114" s="10" t="inlineStr">
        <is>
          <t>Migrated v2</t>
        </is>
      </c>
      <c r="G114" s="17" t="inlineStr">
        <is>
          <t>functions/index.js</t>
        </is>
      </c>
      <c r="H114" s="17" t="inlineStr">
        <is>
          <t>Ninguno</t>
        </is>
      </c>
    </row>
    <row r="115" ht="22" customHeight="1">
      <c r="A115" s="13" t="n">
        <v>113</v>
      </c>
      <c r="B115" s="14" t="inlineStr">
        <is>
          <t>getClickMeetingAttendees</t>
        </is>
      </c>
      <c r="C115" s="13" t="inlineStr">
        <is>
          <t>onRequest</t>
        </is>
      </c>
      <c r="D115" s="13" t="inlineStr">
        <is>
          <t>HTTP Request</t>
        </is>
      </c>
      <c r="E115" s="15" t="inlineStr">
        <is>
          <t>GET ATTENDEES FROM BIGQUERY</t>
        </is>
      </c>
      <c r="F115" s="13" t="inlineStr">
        <is>
          <t>Rolando</t>
        </is>
      </c>
      <c r="G115" s="15" t="inlineStr">
        <is>
          <t>functions/assets/js/click-meeting/click-meeting2.js</t>
        </is>
      </c>
      <c r="H115" s="15" t="inlineStr">
        <is>
          <t>CLICK_MEETING_API, CLICK_MEETING_URL_ACCOUNT, CLICK_MEETING_X_API_KEY</t>
        </is>
      </c>
    </row>
    <row r="116" ht="22" customHeight="1">
      <c r="A116" s="10" t="n">
        <v>114</v>
      </c>
      <c r="B116" s="16" t="inlineStr">
        <is>
          <t>sendMail</t>
        </is>
      </c>
      <c r="C116" s="10" t="inlineStr">
        <is>
          <t>onCall</t>
        </is>
      </c>
      <c r="D116" s="10" t="inlineStr">
        <is>
          <t>Callable (HTTPS)</t>
        </is>
      </c>
      <c r="E116" s="17" t="inlineStr">
        <is>
          <t>SEND MAIL</t>
        </is>
      </c>
      <c r="F116" s="10" t="inlineStr">
        <is>
          <t>Miguel</t>
        </is>
      </c>
      <c r="G116" s="17" t="inlineStr">
        <is>
          <t>functions/assets/js/utils/sendMail.js</t>
        </is>
      </c>
      <c r="H116" s="17" t="inlineStr">
        <is>
          <t>MAILING_TOKEN, MAILING_URL</t>
        </is>
      </c>
    </row>
    <row r="117" ht="22" customHeight="1">
      <c r="A117" s="13" t="n">
        <v>115</v>
      </c>
      <c r="B117" s="14" t="inlineStr">
        <is>
          <t>sendSms</t>
        </is>
      </c>
      <c r="C117" s="13" t="inlineStr">
        <is>
          <t>onCall</t>
        </is>
      </c>
      <c r="D117" s="13" t="inlineStr">
        <is>
          <t>Callable (HTTPS)</t>
        </is>
      </c>
      <c r="E117" s="15" t="inlineStr">
        <is>
          <t>SEND SMS</t>
        </is>
      </c>
      <c r="F117" s="13" t="inlineStr">
        <is>
          <t>Rolando</t>
        </is>
      </c>
      <c r="G117" s="15" t="inlineStr">
        <is>
          <t>functions/assets/js/utils/sendSms.js</t>
        </is>
      </c>
      <c r="H117" s="15" t="inlineStr">
        <is>
          <t>SMS_TOKEN, SMS_URL, SMS_USER</t>
        </is>
      </c>
    </row>
    <row r="118" ht="22" customHeight="1">
      <c r="A118" s="10" t="n">
        <v>116</v>
      </c>
      <c r="B118" s="16" t="inlineStr">
        <is>
          <t>updateSearchArray</t>
        </is>
      </c>
      <c r="C118" s="10" t="inlineStr">
        <is>
          <t>onCall</t>
        </is>
      </c>
      <c r="D118" s="10" t="inlineStr">
        <is>
          <t>Callable (HTTPS)</t>
        </is>
      </c>
      <c r="E118" s="17" t="inlineStr">
        <is>
          <t>UPDATE SEARCH ARRAY</t>
        </is>
      </c>
      <c r="F118" s="10" t="inlineStr">
        <is>
          <t>Rolando</t>
        </is>
      </c>
      <c r="G118" s="17" t="inlineStr">
        <is>
          <t>functions/assets/js/user/updateSearch.js</t>
        </is>
      </c>
      <c r="H118" s="17" t="inlineStr">
        <is>
          <t>CONFIGFB_ADMIN_CREDENTIAL_CERT, CONFIGFB_CLIENT_EMAIL, CONFIGFB_DATABASE_NAME, CONFIGFB_DATABASE_URL, CONFIGFB_STORAGE_BUCKET</t>
        </is>
      </c>
    </row>
    <row r="119" ht="22" customHeight="1">
      <c r="A119" s="13" t="n">
        <v>117</v>
      </c>
      <c r="B119" s="14" t="inlineStr">
        <is>
          <t>onDoctorWrite</t>
        </is>
      </c>
      <c r="C119" s="13" t="inlineStr">
        <is>
          <t>onDocumentWritten</t>
        </is>
      </c>
      <c r="D119" s="13" t="inlineStr">
        <is>
          <t>Firestore Trigger (On Write)</t>
        </is>
      </c>
      <c r="E119" s="15" t="inlineStr">
        <is>
          <t>COLLECTION 'medico-meta' changes</t>
        </is>
      </c>
      <c r="F119" s="13" t="inlineStr">
        <is>
          <t>Rolando</t>
        </is>
      </c>
      <c r="G119" s="15" t="inlineStr">
        <is>
          <t>functions/index.js</t>
        </is>
      </c>
      <c r="H119" s="15" t="inlineStr">
        <is>
          <t>Ninguno</t>
        </is>
      </c>
    </row>
    <row r="120" ht="22" customHeight="1">
      <c r="A120" s="10" t="n">
        <v>118</v>
      </c>
      <c r="B120" s="16" t="inlineStr">
        <is>
          <t>sVSoho_onAssistanceCreated</t>
        </is>
      </c>
      <c r="C120" s="10" t="inlineStr">
        <is>
          <t>onDocumentCreated</t>
        </is>
      </c>
      <c r="D120" s="10" t="inlineStr">
        <is>
          <t>Firestore Trigger (On Create)</t>
        </is>
      </c>
      <c r="E120" s="17" t="inlineStr">
        <is>
          <t>COLLECTION 'posts/{postId}/assistance' changes</t>
        </is>
      </c>
      <c r="F120" s="10" t="inlineStr">
        <is>
          <t>Rolando</t>
        </is>
      </c>
      <c r="G120" s="17" t="inlineStr">
        <is>
          <t>functions/index.js</t>
        </is>
      </c>
      <c r="H120" s="17" t="inlineStr">
        <is>
          <t>Ninguno</t>
        </is>
      </c>
    </row>
    <row r="121" ht="22" customHeight="1">
      <c r="A121" s="13" t="n">
        <v>119</v>
      </c>
      <c r="B121" s="14" t="inlineStr">
        <is>
          <t>sVSoho_onAssistanceUpdated</t>
        </is>
      </c>
      <c r="C121" s="13" t="inlineStr">
        <is>
          <t>onDocumentUpdated</t>
        </is>
      </c>
      <c r="D121" s="13" t="inlineStr">
        <is>
          <t>Firestore Trigger (On Update)</t>
        </is>
      </c>
      <c r="E121" s="15" t="inlineStr">
        <is>
          <t>COLLECTION 'posts/{postId}/assistance' changes</t>
        </is>
      </c>
      <c r="F121" s="13" t="inlineStr">
        <is>
          <t>Rolando</t>
        </is>
      </c>
      <c r="G121" s="15" t="inlineStr">
        <is>
          <t>functions/index.js</t>
        </is>
      </c>
      <c r="H121" s="15" t="inlineStr">
        <is>
          <t>Ninguno</t>
        </is>
      </c>
    </row>
    <row r="122" ht="22" customHeight="1">
      <c r="A122" s="10" t="n">
        <v>120</v>
      </c>
      <c r="B122" s="16" t="inlineStr">
        <is>
          <t>sVSoho_onAssistanceDeleted</t>
        </is>
      </c>
      <c r="C122" s="10" t="inlineStr">
        <is>
          <t>onDocumentDeleted</t>
        </is>
      </c>
      <c r="D122" s="10" t="inlineStr">
        <is>
          <t>Firestore Trigger (On Delete)</t>
        </is>
      </c>
      <c r="E122" s="17" t="inlineStr">
        <is>
          <t>COLLECTION 'posts/{postId}/assistance' changes</t>
        </is>
      </c>
      <c r="F122" s="10" t="inlineStr">
        <is>
          <t>Rolando</t>
        </is>
      </c>
      <c r="G122" s="17" t="inlineStr">
        <is>
          <t>functions/index.js</t>
        </is>
      </c>
      <c r="H122" s="17" t="inlineStr">
        <is>
          <t>Ninguno</t>
        </is>
      </c>
    </row>
    <row r="123" ht="22" customHeight="1">
      <c r="A123" s="13" t="n">
        <v>121</v>
      </c>
      <c r="B123" s="14" t="inlineStr">
        <is>
          <t>zohoExportPaginationTrigger</t>
        </is>
      </c>
      <c r="C123" s="13" t="inlineStr">
        <is>
          <t>onDocumentWritten</t>
        </is>
      </c>
      <c r="D123" s="13" t="inlineStr">
        <is>
          <t>Firestore Trigger (On Write)</t>
        </is>
      </c>
      <c r="E123" s="15" t="inlineStr">
        <is>
          <t>EXPORT TO ZOHO (PAGINATION)</t>
        </is>
      </c>
      <c r="F123" s="13" t="inlineStr">
        <is>
          <t>Rolando</t>
        </is>
      </c>
      <c r="G123" s="15" t="inlineStr">
        <is>
          <t>functions/index.js</t>
        </is>
      </c>
      <c r="H123" s="15" t="inlineStr">
        <is>
          <t>Ninguno</t>
        </is>
      </c>
    </row>
    <row r="124" ht="22" customHeight="1">
      <c r="A124" s="10" t="n">
        <v>122</v>
      </c>
      <c r="B124" s="16" t="inlineStr">
        <is>
          <t>onChatsWrite</t>
        </is>
      </c>
      <c r="C124" s="10" t="inlineStr">
        <is>
          <t>onDocumentWritten</t>
        </is>
      </c>
      <c r="D124" s="10" t="inlineStr">
        <is>
          <t>Firestore Trigger (On Write)</t>
        </is>
      </c>
      <c r="E124" s="17" t="inlineStr">
        <is>
          <t>SEND MASIVE #CHATS</t>
        </is>
      </c>
      <c r="F124" s="10" t="inlineStr">
        <is>
          <t>Rolando</t>
        </is>
      </c>
      <c r="G124" s="17" t="inlineStr">
        <is>
          <t>functions/index.js</t>
        </is>
      </c>
      <c r="H124" s="17" t="inlineStr">
        <is>
          <t>Ninguno</t>
        </is>
      </c>
    </row>
    <row r="125" ht="22" customHeight="1">
      <c r="A125" s="13" t="n">
        <v>123</v>
      </c>
      <c r="B125" s="14" t="inlineStr">
        <is>
          <t>onCreateChatBatch</t>
        </is>
      </c>
      <c r="C125" s="13" t="inlineStr">
        <is>
          <t>onDocumentCreated</t>
        </is>
      </c>
      <c r="D125" s="13" t="inlineStr">
        <is>
          <t>Firestore Trigger (On Create)</t>
        </is>
      </c>
      <c r="E125" s="15" t="inlineStr">
        <is>
          <t>READ FILE FOR MASIVE #CHATS</t>
        </is>
      </c>
      <c r="F125" s="13" t="inlineStr">
        <is>
          <t>Rolando</t>
        </is>
      </c>
      <c r="G125" s="15" t="inlineStr">
        <is>
          <t>functions/index.js</t>
        </is>
      </c>
      <c r="H125" s="15" t="inlineStr">
        <is>
          <t>Ninguno</t>
        </is>
      </c>
    </row>
    <row r="126" ht="22" customHeight="1">
      <c r="A126" s="10" t="n">
        <v>124</v>
      </c>
      <c r="B126" s="16" t="inlineStr">
        <is>
          <t>onUpdateChatBatchItem</t>
        </is>
      </c>
      <c r="C126" s="10" t="inlineStr">
        <is>
          <t>onDocumentUpdated</t>
        </is>
      </c>
      <c r="D126" s="10" t="inlineStr">
        <is>
          <t>Firestore Trigger (On Update)</t>
        </is>
      </c>
      <c r="E126" s="17" t="inlineStr">
        <is>
          <t>PAGINATION UPDATE SECTION IN MASIVE #CHATS</t>
        </is>
      </c>
      <c r="F126" s="10" t="inlineStr">
        <is>
          <t>Rolando</t>
        </is>
      </c>
      <c r="G126" s="17" t="inlineStr">
        <is>
          <t>functions/index.js</t>
        </is>
      </c>
      <c r="H126" s="17" t="inlineStr">
        <is>
          <t>Ninguno</t>
        </is>
      </c>
    </row>
    <row r="127" ht="22" customHeight="1">
      <c r="A127" s="13" t="n">
        <v>125</v>
      </c>
      <c r="B127" s="14" t="inlineStr">
        <is>
          <t>zohoExportScheduled</t>
        </is>
      </c>
      <c r="C127" s="13" t="inlineStr">
        <is>
          <t>onSchedule</t>
        </is>
      </c>
      <c r="D127" s="13" t="inlineStr">
        <is>
          <t>Scheduled (Cron)</t>
        </is>
      </c>
      <c r="E127" s="15" t="inlineStr">
        <is>
          <t>EXPORT TO ZOHO (DAILY)</t>
        </is>
      </c>
      <c r="F127" s="13" t="inlineStr">
        <is>
          <t>Rolando</t>
        </is>
      </c>
      <c r="G127" s="15" t="inlineStr">
        <is>
          <t>functions/index.js</t>
        </is>
      </c>
      <c r="H127" s="15" t="inlineStr">
        <is>
          <t>Ninguno</t>
        </is>
      </c>
    </row>
    <row r="128" ht="22" customHeight="1">
      <c r="A128" s="10" t="n">
        <v>126</v>
      </c>
      <c r="B128" s="16" t="inlineStr">
        <is>
          <t>senmails</t>
        </is>
      </c>
      <c r="C128" s="10" t="inlineStr">
        <is>
          <t>onRequest</t>
        </is>
      </c>
      <c r="D128" s="10" t="inlineStr">
        <is>
          <t>HTTP Request</t>
        </is>
      </c>
      <c r="E128" s="17" t="inlineStr">
        <is>
          <t>Sin descripción</t>
        </is>
      </c>
      <c r="F128" s="10" t="inlineStr">
        <is>
          <t>N/A</t>
        </is>
      </c>
      <c r="G128" s="17" t="inlineStr">
        <is>
          <t>functions/index.js</t>
        </is>
      </c>
      <c r="H128" s="17" t="inlineStr">
        <is>
          <t>Ninguno</t>
        </is>
      </c>
    </row>
  </sheetData>
  <autoFilter ref="A2:H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65" customWidth="1" min="3" max="3"/>
    <col width="22" customWidth="1" min="4" max="4"/>
    <col width="60" customWidth="1" min="5" max="5"/>
  </cols>
  <sheetData>
    <row r="1">
      <c r="A1" s="1" t="inlineStr">
        <is>
          <t>INVENTARIO DE SECRETOS Y VARIABLES DE CONFIGURACIÓN</t>
        </is>
      </c>
    </row>
    <row r="2" ht="28" customHeight="1">
      <c r="A2" s="5" t="inlineStr">
        <is>
          <t>#</t>
        </is>
      </c>
      <c r="B2" s="4" t="inlineStr">
        <is>
          <t>Nombre del Secreto / Variable</t>
        </is>
      </c>
      <c r="C2" s="4" t="inlineStr">
        <is>
          <t>Descripción y Propósito</t>
        </is>
      </c>
      <c r="D2" s="5" t="inlineStr">
        <is>
          <t>Total Funciones que lo Usan</t>
        </is>
      </c>
      <c r="E2" s="4" t="inlineStr">
        <is>
          <t>Funciones Asociadas</t>
        </is>
      </c>
    </row>
    <row r="3" ht="24" customHeight="1">
      <c r="A3" s="13" t="n">
        <v>1</v>
      </c>
      <c r="B3" s="14" t="inlineStr">
        <is>
          <t>CLICK_MEETING_API</t>
        </is>
      </c>
      <c r="C3" s="15" t="inlineStr">
        <is>
          <t>Clave API de autenticación e integración con la plataforma ClickMeeting.</t>
        </is>
      </c>
      <c r="D3" s="18" t="n">
        <v>2</v>
      </c>
      <c r="E3" s="15" t="inlineStr">
        <is>
          <t>clickMeeting, getClickMeetingAttendees</t>
        </is>
      </c>
    </row>
    <row r="4" ht="24" customHeight="1">
      <c r="A4" s="10" t="n">
        <v>2</v>
      </c>
      <c r="B4" s="16" t="inlineStr">
        <is>
          <t>CLICK_MEETING_URL_ACCOUNT</t>
        </is>
      </c>
      <c r="C4" s="17" t="inlineStr">
        <is>
          <t>URL base de la cuenta/subdominio asignado en ClickMeeting.</t>
        </is>
      </c>
      <c r="D4" s="9" t="n">
        <v>2</v>
      </c>
      <c r="E4" s="17" t="inlineStr">
        <is>
          <t>clickMeeting, getClickMeetingAttendees</t>
        </is>
      </c>
    </row>
    <row r="5" ht="24" customHeight="1">
      <c r="A5" s="13" t="n">
        <v>3</v>
      </c>
      <c r="B5" s="14" t="inlineStr">
        <is>
          <t>CLICK_MEETING_X_API_KEY</t>
        </is>
      </c>
      <c r="C5" s="15" t="inlineStr">
        <is>
          <t>Cabecera de autenticación X-Api-Key utilizada para endpoints de ClickMeeting V2.</t>
        </is>
      </c>
      <c r="D5" s="18" t="n">
        <v>2</v>
      </c>
      <c r="E5" s="15" t="inlineStr">
        <is>
          <t>clickMeeting, getClickMeetingAttendees</t>
        </is>
      </c>
    </row>
    <row r="6" ht="24" customHeight="1">
      <c r="A6" s="10" t="n">
        <v>4</v>
      </c>
      <c r="B6" s="16" t="inlineStr">
        <is>
          <t>CLOUD_MESSAGING_URL</t>
        </is>
      </c>
      <c r="C6" s="17" t="inlineStr">
        <is>
          <t>URL para el envío de notificaciones push a través de Firebase Cloud Messaging V1 API.</t>
        </is>
      </c>
      <c r="D6" s="9" t="n">
        <v>4</v>
      </c>
      <c r="E6" s="17" t="inlineStr">
        <is>
          <t>sendNotificationCall, subscribeToTopic, unsubscribeFromTopic, sendNotification</t>
        </is>
      </c>
    </row>
    <row r="7" ht="24" customHeight="1">
      <c r="A7" s="13" t="n">
        <v>5</v>
      </c>
      <c r="B7" s="14" t="inlineStr">
        <is>
          <t>CONFIGAPP_ICON</t>
        </is>
      </c>
      <c r="C7" s="15" t="inlineStr">
        <is>
          <t>URL del icono genérico por defecto para notificaciones push en la app.</t>
        </is>
      </c>
      <c r="D7" s="18" t="n">
        <v>4</v>
      </c>
      <c r="E7" s="15" t="inlineStr">
        <is>
          <t>sendNotificationCall, subscribeToTopic, unsubscribeFromTopic, sendNotification</t>
        </is>
      </c>
    </row>
    <row r="8" ht="24" customHeight="1">
      <c r="A8" s="10" t="n">
        <v>6</v>
      </c>
      <c r="B8" s="16" t="inlineStr">
        <is>
          <t>CONFIGAPP_URL</t>
        </is>
      </c>
      <c r="C8" s="17" t="inlineStr">
        <is>
          <t>URL pública base de la aplicación cliente Conectimed.</t>
        </is>
      </c>
      <c r="D8" s="9" t="n">
        <v>7</v>
      </c>
      <c r="E8" s="17" t="inlineStr">
        <is>
          <t>conectimed_landing, generateCode, getAuthUserByEmailRequest, sendNotificationCall, subscribeToTopic, unsubscribeFromTopic, sendNotification</t>
        </is>
      </c>
    </row>
    <row r="9" ht="24" customHeight="1">
      <c r="A9" s="13" t="n">
        <v>7</v>
      </c>
      <c r="B9" s="14" t="inlineStr">
        <is>
          <t>CONFIGFB_ADMIN_CREDENTIAL_CERT</t>
        </is>
      </c>
      <c r="C9" s="15" t="inlineStr">
        <is>
          <t>Certificado JSON con credenciales Service Account Admin de Firebase/GCP.</t>
        </is>
      </c>
      <c r="D9" s="18" t="n">
        <v>62</v>
      </c>
      <c r="E9" s="15" t="inlineStr">
        <is>
          <t>infoDBF, clickMeeting, getValidatedUsers, userAppRegister, userAppUpdate, getAllAuthUsers, getAuthUsersByList, generateHtmlCertificate, getSpecialties, getSpecialty, conectimed_landing, generateHtmlCertificate, zohoExportRequest, zohoExportmarkAllUsersPendingRequest, zohoExportSingleRequest, getVirtualSessionsAttendanceConfirmation, generateCode, getAuthUserByEmailRequest, search, contacts, filters, existInFireAuth, createUsers, deleteUsers, tokens, getFbToken, isFullMigratedWP, changePasswordWPFB, setPoints, createAuthUser, checkRepresentantive, certificadosBatch, changePassword, checkCode, deleteAuthUser, emailVerificationAuthUser, getAuthUser, getAuthUserByEmail, resetPasswordAuthUser, updateAuthUser, updateSeachUserObject, updatePostsSearch, updateProductsSearch, sendNotificationCall, subscribeToTopic, unsubscribeFromTopic, getToken, getAllUsersAuthUser, getSearchArray, fire_onRequest_scheduled_posts, sendNotification, uploadFilesToFstorage, bq_onRequest_getResponseWebhook, bq_onRequest_newsletters, bq_onRequest_newsletters_update, admin_messaging, admin_messaging_movil, bq_onRequest_activities, bq_onRequest_campaigns, bq_onRequest_contacts, bq_onRequest_createTable, updateSearchArray</t>
        </is>
      </c>
    </row>
    <row r="10" ht="24" customHeight="1">
      <c r="A10" s="10" t="n">
        <v>8</v>
      </c>
      <c r="B10" s="16" t="inlineStr">
        <is>
          <t>CONFIGFB_API_KEY</t>
        </is>
      </c>
      <c r="C10" s="17" t="inlineStr">
        <is>
          <t>API Key pública del proyecto Firebase Conectimed.</t>
        </is>
      </c>
      <c r="D10" s="9" t="n">
        <v>2</v>
      </c>
      <c r="E10" s="17" t="inlineStr">
        <is>
          <t>generateCode, getAuthUserByEmailRequest</t>
        </is>
      </c>
    </row>
    <row r="11" ht="24" customHeight="1">
      <c r="A11" s="13" t="n">
        <v>9</v>
      </c>
      <c r="B11" s="14" t="inlineStr">
        <is>
          <t>CONFIGFB_API_URL</t>
        </is>
      </c>
      <c r="C11" s="15" t="inlineStr">
        <is>
          <t>URL de servicio API backend auxiliar de Firebase.</t>
        </is>
      </c>
      <c r="D11" s="18" t="n">
        <v>1</v>
      </c>
      <c r="E11" s="15" t="inlineStr">
        <is>
          <t>generatePDF</t>
        </is>
      </c>
    </row>
    <row r="12" ht="24" customHeight="1">
      <c r="A12" s="10" t="n">
        <v>10</v>
      </c>
      <c r="B12" s="16" t="inlineStr">
        <is>
          <t>CONFIGFB_CLIENT_EMAIL</t>
        </is>
      </c>
      <c r="C12" s="17" t="inlineStr">
        <is>
          <t>Email del cliente de la cuenta de servicio Firebase Admin SDK.</t>
        </is>
      </c>
      <c r="D12" s="9" t="n">
        <v>62</v>
      </c>
      <c r="E12" s="17" t="inlineStr">
        <is>
          <t>infoDBF, clickMeeting, getValidatedUsers, userAppRegister, userAppUpdate, getAllAuthUsers, getAuthUsersByList, generateHtmlCertificate, getSpecialties, getSpecialty, conectimed_landing, generateHtmlCertificate, zohoExportRequest, zohoExportmarkAllUsersPendingRequest, zohoExportSingleRequest, getVirtualSessionsAttendanceConfirmation, generateCode, getAuthUserByEmailRequest, search, contacts, filters, existInFireAuth, createUsers, deleteUsers, tokens, getFbToken, isFullMigratedWP, changePasswordWPFB, setPoints, createAuthUser, checkRepresentantive, certificadosBatch, changePassword, checkCode, deleteAuthUser, emailVerificationAuthUser, getAuthUser, getAuthUserByEmail, resetPasswordAuthUser, updateAuthUser, updateSeachUserObject, updatePostsSearch, updateProductsSearch, sendNotificationCall, subscribeToTopic, unsubscribeFromTopic, getToken, getAllUsersAuthUser, getSearchArray, fire_onRequest_scheduled_posts, sendNotification, uploadFilesToFstorage, bq_onRequest_getResponseWebhook, bq_onRequest_newsletters, bq_onRequest_newsletters_update, admin_messaging, admin_messaging_movil, bq_onRequest_activities, bq_onRequest_campaigns, bq_onRequest_contacts, bq_onRequest_createTable, updateSearchArray</t>
        </is>
      </c>
    </row>
    <row r="13" ht="24" customHeight="1">
      <c r="A13" s="13" t="n">
        <v>11</v>
      </c>
      <c r="B13" s="14" t="inlineStr">
        <is>
          <t>CONFIGFB_DATABASE_NAME</t>
        </is>
      </c>
      <c r="C13" s="15" t="inlineStr">
        <is>
          <t>Nombre o ID del proyecto/base de datos Firestore.</t>
        </is>
      </c>
      <c r="D13" s="18" t="n">
        <v>62</v>
      </c>
      <c r="E13" s="15" t="inlineStr">
        <is>
          <t>infoDBF, clickMeeting, getValidatedUsers, userAppRegister, userAppUpdate, getAllAuthUsers, getAuthUsersByList, generateHtmlCertificate, getSpecialties, getSpecialty, conectimed_landing, generateHtmlCertificate, zohoExportRequest, zohoExportmarkAllUsersPendingRequest, zohoExportSingleRequest, getVirtualSessionsAttendanceConfirmation, generateCode, getAuthUserByEmailRequest, search, contacts, filters, existInFireAuth, createUsers, deleteUsers, tokens, getFbToken, isFullMigratedWP, changePasswordWPFB, setPoints, createAuthUser, checkRepresentantive, certificadosBatch, changePassword, checkCode, deleteAuthUser, emailVerificationAuthUser, getAuthUser, getAuthUserByEmail, resetPasswordAuthUser, updateAuthUser, updateSeachUserObject, updatePostsSearch, updateProductsSearch, sendNotificationCall, subscribeToTopic, unsubscribeFromTopic, getToken, getAllUsersAuthUser, getSearchArray, fire_onRequest_scheduled_posts, sendNotification, uploadFilesToFstorage, bq_onRequest_getResponseWebhook, bq_onRequest_newsletters, bq_onRequest_newsletters_update, admin_messaging, admin_messaging_movil, bq_onRequest_activities, bq_onRequest_campaigns, bq_onRequest_contacts, bq_onRequest_createTable, updateSearchArray</t>
        </is>
      </c>
    </row>
    <row r="14" ht="24" customHeight="1">
      <c r="A14" s="10" t="n">
        <v>12</v>
      </c>
      <c r="B14" s="16" t="inlineStr">
        <is>
          <t>CONFIGFB_DATABASE_URL</t>
        </is>
      </c>
      <c r="C14" s="17" t="inlineStr">
        <is>
          <t>URL de la base de datos Realtime Database / Firestore en Firebase.</t>
        </is>
      </c>
      <c r="D14" s="9" t="n">
        <v>62</v>
      </c>
      <c r="E14" s="17" t="inlineStr">
        <is>
          <t>infoDBF, clickMeeting, getValidatedUsers, userAppRegister, userAppUpdate, getAllAuthUsers, getAuthUsersByList, generateHtmlCertificate, getSpecialties, getSpecialty, conectimed_landing, generateHtmlCertificate, zohoExportRequest, zohoExportmarkAllUsersPendingRequest, zohoExportSingleRequest, getVirtualSessionsAttendanceConfirmation, generateCode, getAuthUserByEmailRequest, search, contacts, filters, existInFireAuth, createUsers, deleteUsers, tokens, getFbToken, isFullMigratedWP, changePasswordWPFB, setPoints, createAuthUser, checkRepresentantive, certificadosBatch, changePassword, checkCode, deleteAuthUser, emailVerificationAuthUser, getAuthUser, getAuthUserByEmail, resetPasswordAuthUser, updateAuthUser, updateSeachUserObject, updatePostsSearch, updateProductsSearch, sendNotificationCall, subscribeToTopic, unsubscribeFromTopic, getToken, getAllUsersAuthUser, getSearchArray, fire_onRequest_scheduled_posts, sendNotification, uploadFilesToFstorage, bq_onRequest_getResponseWebhook, bq_onRequest_newsletters, bq_onRequest_newsletters_update, admin_messaging, admin_messaging_movil, bq_onRequest_activities, bq_onRequest_campaigns, bq_onRequest_contacts, bq_onRequest_createTable, updateSearchArray</t>
        </is>
      </c>
    </row>
    <row r="15" ht="24" customHeight="1">
      <c r="A15" s="13" t="n">
        <v>13</v>
      </c>
      <c r="B15" s="14" t="inlineStr">
        <is>
          <t>CONFIGFB_STORAGE_BUCKET</t>
        </is>
      </c>
      <c r="C15" s="15" t="inlineStr">
        <is>
          <t>Nombre del bucket de Google Cloud Storage / Firebase Storage.</t>
        </is>
      </c>
      <c r="D15" s="18" t="n">
        <v>62</v>
      </c>
      <c r="E15" s="15" t="inlineStr">
        <is>
          <t>infoDBF, clickMeeting, getValidatedUsers, userAppRegister, userAppUpdate, getAllAuthUsers, getAuthUsersByList, generateHtmlCertificate, getSpecialties, getSpecialty, conectimed_landing, generateHtmlCertificate, zohoExportRequest, zohoExportmarkAllUsersPendingRequest, zohoExportSingleRequest, getVirtualSessionsAttendanceConfirmation, generateCode, getAuthUserByEmailRequest, search, contacts, filters, existInFireAuth, createUsers, deleteUsers, tokens, getFbToken, isFullMigratedWP, changePasswordWPFB, setPoints, createAuthUser, checkRepresentantive, certificadosBatch, changePassword, checkCode, deleteAuthUser, emailVerificationAuthUser, getAuthUser, getAuthUserByEmail, resetPasswordAuthUser, updateAuthUser, updateSeachUserObject, updatePostsSearch, updateProductsSearch, sendNotificationCall, subscribeToTopic, unsubscribeFromTopic, getToken, getAllUsersAuthUser, getSearchArray, fire_onRequest_scheduled_posts, sendNotification, uploadFilesToFstorage, bq_onRequest_getResponseWebhook, bq_onRequest_newsletters, bq_onRequest_newsletters_update, admin_messaging, admin_messaging_movil, bq_onRequest_activities, bq_onRequest_campaigns, bq_onRequest_contacts, bq_onRequest_createTable, updateSearchArray</t>
        </is>
      </c>
    </row>
    <row r="16" ht="24" customHeight="1">
      <c r="A16" s="10" t="n">
        <v>14</v>
      </c>
      <c r="B16" s="16" t="inlineStr">
        <is>
          <t>CTM_CRYPT_IV_LENGTH</t>
        </is>
      </c>
      <c r="C16" s="17" t="inlineStr">
        <is>
          <t>Longitud en bytes del Vector de Inicialización (IV) para encriptación Conectimed.</t>
        </is>
      </c>
      <c r="D16" s="9" t="n">
        <v>2</v>
      </c>
      <c r="E16" s="17" t="inlineStr">
        <is>
          <t>userAppRegister, userAppUpdate</t>
        </is>
      </c>
    </row>
    <row r="17" ht="24" customHeight="1">
      <c r="A17" s="13" t="n">
        <v>15</v>
      </c>
      <c r="B17" s="14" t="inlineStr">
        <is>
          <t>CTM_CRYPT_SECRET_KEY</t>
        </is>
      </c>
      <c r="C17" s="15" t="inlineStr">
        <is>
          <t>Llave secreta para cifrado y descifrado simétrico XOR de datos sensibles.</t>
        </is>
      </c>
      <c r="D17" s="18" t="n">
        <v>2</v>
      </c>
      <c r="E17" s="15" t="inlineStr">
        <is>
          <t>userAppRegister, userAppUpdate</t>
        </is>
      </c>
    </row>
    <row r="18" ht="24" customHeight="1">
      <c r="A18" s="10" t="n">
        <v>16</v>
      </c>
      <c r="B18" s="16" t="inlineStr">
        <is>
          <t>CUSTOM_SECURITY_PRIVATE_KEY</t>
        </is>
      </c>
      <c r="C18" s="17" t="inlineStr">
        <is>
          <t>Clave privada RSA/ECDSA para firmado de tokens de seguridad personalizados.</t>
        </is>
      </c>
      <c r="D18" s="9" t="n">
        <v>2</v>
      </c>
      <c r="E18" s="17" t="inlineStr">
        <is>
          <t>generateCode, getAuthUserByEmailRequest</t>
        </is>
      </c>
    </row>
    <row r="19" ht="24" customHeight="1">
      <c r="A19" s="13" t="n">
        <v>17</v>
      </c>
      <c r="B19" s="14" t="inlineStr">
        <is>
          <t>CUSTOM_SECURITY_PUBLIC_KEY</t>
        </is>
      </c>
      <c r="C19" s="15" t="inlineStr">
        <is>
          <t>Clave pública para verificación de tokens de seguridad personalizados.</t>
        </is>
      </c>
      <c r="D19" s="18" t="n">
        <v>2</v>
      </c>
      <c r="E19" s="15" t="inlineStr">
        <is>
          <t>generateCode, getAuthUserByEmailRequest</t>
        </is>
      </c>
    </row>
    <row r="20" ht="24" customHeight="1">
      <c r="A20" s="10" t="n">
        <v>18</v>
      </c>
      <c r="B20" s="16" t="inlineStr">
        <is>
          <t>MAILING_TOKEN</t>
        </is>
      </c>
      <c r="C20" s="17" t="inlineStr">
        <is>
          <t>Token de autenticación Bearer para el servicio de envío de correos ZeptoMail.</t>
        </is>
      </c>
      <c r="D20" s="9" t="n">
        <v>3</v>
      </c>
      <c r="E20" s="17" t="inlineStr">
        <is>
          <t>generateCode, getAuthUserByEmailRequest, sendMail</t>
        </is>
      </c>
    </row>
    <row r="21" ht="24" customHeight="1">
      <c r="A21" s="13" t="n">
        <v>19</v>
      </c>
      <c r="B21" s="14" t="inlineStr">
        <is>
          <t>MAILING_URL</t>
        </is>
      </c>
      <c r="C21" s="15" t="inlineStr">
        <is>
          <t>URL del endpoint REST del servicio transaccional de correos ZeptoMail.</t>
        </is>
      </c>
      <c r="D21" s="18" t="n">
        <v>3</v>
      </c>
      <c r="E21" s="15" t="inlineStr">
        <is>
          <t>generateCode, getAuthUserByEmailRequest, sendMail</t>
        </is>
      </c>
    </row>
    <row r="22" ht="24" customHeight="1">
      <c r="A22" s="10" t="n">
        <v>20</v>
      </c>
      <c r="B22" s="16" t="inlineStr">
        <is>
          <t>SMS_TOKEN</t>
        </is>
      </c>
      <c r="C22" s="17" t="inlineStr">
        <is>
          <t>Token/Password de autenticación API para proveedor de SMS (LabsMobile).</t>
        </is>
      </c>
      <c r="D22" s="9" t="n">
        <v>3</v>
      </c>
      <c r="E22" s="17" t="inlineStr">
        <is>
          <t>generateCode, getAuthUserByEmailRequest, sendSms</t>
        </is>
      </c>
    </row>
    <row r="23" ht="24" customHeight="1">
      <c r="A23" s="13" t="n">
        <v>21</v>
      </c>
      <c r="B23" s="14" t="inlineStr">
        <is>
          <t>SMS_URL</t>
        </is>
      </c>
      <c r="C23" s="15" t="inlineStr">
        <is>
          <t>URL del endpoint REST para envío transaccional de SMS (LabsMobile).</t>
        </is>
      </c>
      <c r="D23" s="18" t="n">
        <v>3</v>
      </c>
      <c r="E23" s="15" t="inlineStr">
        <is>
          <t>generateCode, getAuthUserByEmailRequest, sendSms</t>
        </is>
      </c>
    </row>
    <row r="24" ht="24" customHeight="1">
      <c r="A24" s="10" t="n">
        <v>22</v>
      </c>
      <c r="B24" s="16" t="inlineStr">
        <is>
          <t>SMS_USER</t>
        </is>
      </c>
      <c r="C24" s="17" t="inlineStr">
        <is>
          <t>Usuario/Email registrado en la cuenta del proveedor de SMS (LabsMobile).</t>
        </is>
      </c>
      <c r="D24" s="9" t="n">
        <v>3</v>
      </c>
      <c r="E24" s="17" t="inlineStr">
        <is>
          <t>generateCode, getAuthUserByEmailRequest, sendSms</t>
        </is>
      </c>
    </row>
    <row r="25" ht="24" customHeight="1">
      <c r="A25" s="13" t="n">
        <v>23</v>
      </c>
      <c r="B25" s="14" t="inlineStr">
        <is>
          <t>STRIPE_SECRET_KEY</t>
        </is>
      </c>
      <c r="C25" s="15" t="inlineStr">
        <is>
          <t>Clave secreta privada de Stripe para procesamiento de pagos y suscripciones.</t>
        </is>
      </c>
      <c r="D25" s="18" t="n">
        <v>6</v>
      </c>
      <c r="E25" s="15" t="inlineStr">
        <is>
          <t>stripe_customer_create, stripe_customer_update, stripe_customer_retrieve, stripe_customer_delete, stripe_payment_intent, stripe_payment_intent_update</t>
        </is>
      </c>
    </row>
    <row r="26" ht="24" customHeight="1">
      <c r="A26" s="10" t="n">
        <v>24</v>
      </c>
      <c r="B26" s="16" t="inlineStr">
        <is>
          <t>ZOHO_INTEGRATION_URL</t>
        </is>
      </c>
      <c r="C26" s="17" t="inlineStr">
        <is>
          <t>URL webhook/endpoint REST para sincronización y exportación de datos con Zoho CRM.</t>
        </is>
      </c>
      <c r="D26" s="9" t="n">
        <v>3</v>
      </c>
      <c r="E26" s="17" t="inlineStr">
        <is>
          <t>zohoExportRequest, zohoExportmarkAllUsersPendingRequest, zohoExportSingleRequest</t>
        </is>
      </c>
    </row>
  </sheetData>
  <autoFilter ref="A2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2026-10-14T22:32:05Z</dcterms:created>
  <dcterms:modified xsi:type="dcterms:W3CDTF">2026-10-14T22:32:05Z</dcterms:modified>
</cp:coreProperties>
</file>